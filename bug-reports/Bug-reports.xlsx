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bf0400909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67193c37e62434b"/>
    <x:sheet xmlns:r="http://schemas.openxmlformats.org/officeDocument/2006/relationships" name="Баг-репорты" sheetId="2" r:id="R22c0500b4dd94cdc"/>
    <x:sheet xmlns:r="http://schemas.openxmlformats.org/officeDocument/2006/relationships" name="Доказательства" sheetId="3" r:id="R513b1f4b628c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sz val="10"/>
      <x:color rgb="FF9C0006"/>
      <x:name val="Carlito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EF5FB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</x:fills>
  <x:borders count="19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E6B8AF"/>
      </x:left>
      <x:top style="thin">
        <x:color rgb="FFE6B8AF"/>
      </x:top>
    </x:border>
    <x:border>
      <x:top style="thin">
        <x:color rgb="FFE6B8AF"/>
      </x:top>
    </x:border>
    <x:border>
      <x:right style="thin">
        <x:color rgb="FFE6B8AF"/>
      </x:right>
      <x:top style="thin">
        <x:color rgb="FFE6B8AF"/>
      </x:top>
    </x:border>
    <x:border>
      <x:left style="thin">
        <x:color rgb="FFE6B8AF"/>
      </x:left>
    </x:border>
    <x:border>
      <x:right style="thin">
        <x:color rgb="FFE6B8AF"/>
      </x:right>
    </x:border>
    <x:border>
      <x:left style="thin">
        <x:color rgb="FFE6B8AF"/>
      </x:left>
      <x:bottom style="thin">
        <x:color rgb="FFE6B8AF"/>
      </x:bottom>
    </x:border>
    <x:border>
      <x:bottom style="thin">
        <x:color rgb="FFE6B8AF"/>
      </x:bottom>
    </x:border>
    <x:border>
      <x:right style="thin">
        <x:color rgb="FFE6B8AF"/>
      </x:right>
      <x:bottom style="thin">
        <x:color rgb="FFE6B8AF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b84fd22994981" /><Relationship Type="http://schemas.openxmlformats.org/officeDocument/2006/relationships/theme" Target="/xl/theme/theme1.xml" Id="R043cb7d40a79426c" /><Relationship Type="http://schemas.openxmlformats.org/officeDocument/2006/relationships/sharedStrings" Target="/xl/sharedStrings.xml" Id="Rd5e9849b6f8c49e4" /><Relationship Type="http://schemas.openxmlformats.org/officeDocument/2006/relationships/worksheet" Target="/xl/worksheets/sheet1.xml" Id="R967193c37e62434b" /><Relationship Type="http://schemas.openxmlformats.org/officeDocument/2006/relationships/worksheet" Target="/xl/worksheets/sheet2.xml" Id="R22c0500b4dd94cdc" /><Relationship Type="http://schemas.openxmlformats.org/officeDocument/2006/relationships/worksheet" Target="/xl/worksheets/sheet3.xml" Id="R513b1f4b628c4a1a" /></Relationships>
</file>

<file path=xl/tables/table1.xml><?xml version="1.0" encoding="utf-8"?>
<x:table xmlns:x="http://schemas.openxmlformats.org/spreadsheetml/2006/main" id="1" name="BugSummaryTable" displayName="BugSummaryTable" ref="A10:H19" headerRowCount="1" totalsRowCount="0" totalsRowShown="0">
  <x:tableColumns count="8">
    <x:tableColumn id="1" name="ID"/>
    <x:tableColumn id="2" name="Название"/>
    <x:tableColumn id="3" name="Endpoint"/>
    <x:tableColumn id="4" name="Severity"/>
    <x:tableColumn id="5" name="Priority"/>
    <x:tableColumn id="6" name="Status"/>
    <x:tableColumn id="7" name="Связанные тесты"/>
    <x:tableColumn id="8" name="Фактическое отклон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gReportsTable" displayName="BugReportsTable" ref="A4:O13" headerRowCount="1" totalsRowCount="0" totalsRowShown="0">
  <x:tableColumns count="15">
    <x:tableColumn id="1" name="ID"/>
    <x:tableColumn id="2" name="Название"/>
    <x:tableColumn id="3" name="Endpoint"/>
    <x:tableColumn id="4" name="Severity"/>
    <x:tableColumn id="5" name="Priority"/>
    <x:tableColumn id="6" name="Status"/>
    <x:tableColumn id="7" name="Окружение"/>
    <x:tableColumn id="8" name="Предусловия"/>
    <x:tableColumn id="9" name="Шаги воспроизведения"/>
    <x:tableColumn id="10" name="Ожидаемый результат"/>
    <x:tableColumn id="11" name="Фактический результат"/>
    <x:tableColumn id="12" name="Влияние"/>
    <x:tableColumn id="13" name="Рекомендация"/>
    <x:tableColumn id="14" name="Доказательства / Test IDs"/>
    <x:tableColumn id="15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133204a94b44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9110a6537645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18" hidden="0" customWidth="1"/>
    <x:col min="5" max="5" width="12" hidden="0" customWidth="1"/>
    <x:col min="6" max="6" width="14" hidden="0" customWidth="1"/>
    <x:col min="7" max="7" width="34" hidden="0" customWidth="1"/>
    <x:col min="8" max="8" width="48" hidden="0" customWidth="1"/>
  </x:cols>
  <x:sheetData>
    <x:row r="1" ht="32" customHeight="1">
      <x:c r="A1" s="3" t="str">
        <x:v>Restful Booker — баг-репорты</x:v>
      </x:c>
      <x:c r="B1" s="3" t="str">
        <x:v>Restful Booker — баг-репорты</x:v>
      </x:c>
      <x:c r="C1" s="3" t="str">
        <x:v>Restful Booker — баг-репорты</x:v>
      </x:c>
      <x:c r="D1" s="3" t="str">
        <x:v>Restful Booker — баг-репорты</x:v>
      </x:c>
      <x:c r="E1" s="3" t="str">
        <x:v>Restful Booker — баг-репорты</x:v>
      </x:c>
      <x:c r="F1" s="3" t="str">
        <x:v>Restful Booker — баг-репорты</x:v>
      </x:c>
      <x:c r="G1" s="3" t="str">
        <x:v>Restful Booker — баг-репорты</x:v>
      </x:c>
      <x:c r="H1" s="3" t="str">
        <x:v>Restful Booker — баг-репорты</x:v>
      </x:c>
    </x:row>
    <x:row r="2" ht="32" customHeight="1">
      <x:c r="A2" s="7" t="str">
        <x:v>9 подтверждённых дефектов; исследовательский прогон 2026-09-03 00:01 UTC.</x:v>
      </x:c>
      <x:c r="B2" s="7" t="str">
        <x:v>9 подтверждённых дефектов; исследовательский прогон 2026-09-03 00:01 UTC.</x:v>
      </x:c>
      <x:c r="C2" s="7" t="str">
        <x:v>9 подтверждённых дефектов; исследовательский прогон 2026-09-03 00:01 UTC.</x:v>
      </x:c>
      <x:c r="D2" s="7" t="str">
        <x:v>9 подтверждённых дефектов; исследовательский прогон 2026-09-03 00:01 UTC.</x:v>
      </x:c>
      <x:c r="E2" s="7" t="str">
        <x:v>9 подтверждённых дефектов; исследовательский прогон 2026-09-03 00:01 UTC.</x:v>
      </x:c>
      <x:c r="F2" s="7" t="str">
        <x:v>9 подтверждённых дефектов; исследовательский прогон 2026-09-03 00:01 UTC.</x:v>
      </x:c>
      <x:c r="G2" s="7" t="str">
        <x:v>9 подтверждённых дефектов; исследовательский прогон 2026-09-03 00:01 UTC.</x:v>
      </x:c>
      <x:c r="H2" s="7" t="str">
        <x:v>9 подтверждённых дефектов; исследовательский прогон 2026-09-03 00:01 UTC.</x:v>
      </x:c>
    </x:row>
    <x:row r="4" ht="32" customHeight="1">
      <x:c r="A4" s="10" t="str">
        <x:v>Всего дефектов</x:v>
      </x:c>
      <x:c r="B4" s="14" t="n">
        <x:f>COUNTA('Баг-репорты'!$A$5:$A$100)</x:f>
        <x:v>9</x:v>
      </x:c>
      <x:c r="D4" s="20" t="str">
        <x:v>Ключевой риск</x:v>
      </x:c>
      <x:c r="E4" s="20" t="str">
        <x:v>Ключевой риск</x:v>
      </x:c>
      <x:c r="F4" s="20" t="str">
        <x:v>Ключевой риск</x:v>
      </x:c>
      <x:c r="G4" s="20" t="str">
        <x:v>Ключевой риск</x:v>
      </x:c>
      <x:c r="H4" s="20" t="str">
        <x:v>Ключевой риск</x:v>
      </x:c>
    </x:row>
    <x:row r="5">
      <x:c r="A5" s="10" t="str">
        <x:v>Критических</x:v>
      </x:c>
      <x:c r="B5" s="14" t="n">
        <x:f>COUNTIF('Баг-репорты'!$D$5:$D$100,"Критический")</x:f>
        <x:v>4</x:v>
      </x:c>
      <x:c r="D5" s="40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E5" s="41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F5" s="41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G5" s="41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H5" s="42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</x:row>
    <x:row r="6">
      <x:c r="A6" s="10" t="str">
        <x:v>Значительных</x:v>
      </x:c>
      <x:c r="B6" s="14" t="n">
        <x:f>COUNTIF('Баг-репорты'!$D$5:$D$100,"Значительный")</x:f>
        <x:v>3</x:v>
      </x:c>
      <x:c r="D6" s="43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E6" s="44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F6" s="44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G6" s="44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H6" s="45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</x:row>
    <x:row r="7">
      <x:c r="A7" s="10" t="str">
        <x:v>Незначительных</x:v>
      </x:c>
      <x:c r="B7" s="14" t="n">
        <x:f>COUNTIF('Баг-репорты'!$D$5:$D$100,"Незначительный")</x:f>
        <x:v>2</x:v>
      </x:c>
      <x:c r="D7" s="43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E7" s="44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F7" s="44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G7" s="44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H7" s="45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</x:row>
    <x:row r="8">
      <x:c r="A8" s="10" t="str">
        <x:v>Priority P1</x:v>
      </x:c>
      <x:c r="B8" s="14" t="n">
        <x:f>COUNTIF('Баг-репорты'!$E$5:$E$100,"P1")</x:f>
        <x:v>7</x:v>
      </x:c>
      <x:c r="D8" s="46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E8" s="47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F8" s="47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G8" s="47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  <x:c r="H8" s="48" t="str">
        <x:v>Основной кластер дефектов связан с отсутствием строгой валидации: API принимает неверные типы и даты, преобразует значения и затем возвращает 500 на фильтрах. Это риск целостности данных, а не только несоответствие HTTP-кодов.</x:v>
      </x:c>
    </x:row>
    <x:row r="10" ht="32" customHeight="1">
      <x:c r="A10" s="20" t="str">
        <x:v>ID</x:v>
      </x:c>
      <x:c r="B10" s="20" t="str">
        <x:v>Название</x:v>
      </x:c>
      <x:c r="C10" s="20" t="str">
        <x:v>Endpoint</x:v>
      </x:c>
      <x:c r="D10" s="20" t="str">
        <x:v>Severity</x:v>
      </x:c>
      <x:c r="E10" s="20" t="str">
        <x:v>Priority</x:v>
      </x:c>
      <x:c r="F10" s="20" t="str">
        <x:v>Status</x:v>
      </x:c>
      <x:c r="G10" s="20" t="str">
        <x:v>Связанные тесты</x:v>
      </x:c>
      <x:c r="H10" s="20" t="str">
        <x:v>Фактическое отклонение</x:v>
      </x:c>
    </x:row>
    <x:row r="11" ht="54" customHeight="1">
      <x:c r="A11" s="52" t="str">
        <x:v>BUG-001</x:v>
      </x:c>
      <x:c r="B11" s="52" t="str">
        <x:v>Ошибочная аутентификация возвращает HTTP 200</x:v>
      </x:c>
      <x:c r="C11" s="52" t="str">
        <x:v>POST /auth</x:v>
      </x:c>
      <x:c r="D11" s="52" t="str">
        <x:v>Значительный</x:v>
      </x:c>
      <x:c r="E11" s="52" t="str">
        <x:v>P1</x:v>
      </x:c>
      <x:c r="F11" s="52" t="str">
        <x:v>Открыт</x:v>
      </x:c>
      <x:c r="G11" s="52" t="str">
        <x:v>AUTH-002, AUTH-003</x:v>
      </x:c>
      <x:c r="H11" s="52" t="str">
        <x:v>Оба запроса возвращают 200 OK и {"reason":"Bad credentials"}.</x:v>
      </x:c>
    </x:row>
    <x:row r="12" ht="54" customHeight="1">
      <x:c r="A12" s="52" t="str">
        <x:v>BUG-002</x:v>
      </x:c>
      <x:c r="B12" s="52" t="str">
        <x:v>Клиентские ошибки POST /booking приводят к HTTP 500</x:v>
      </x:c>
      <x:c r="C12" s="52" t="str">
        <x:v>POST /booking</x:v>
      </x:c>
      <x:c r="D12" s="52" t="str">
        <x:v>Критический</x:v>
      </x:c>
      <x:c r="E12" s="52" t="str">
        <x:v>P1</x:v>
      </x:c>
      <x:c r="F12" s="52" t="str">
        <x:v>Открыт</x:v>
      </x:c>
      <x:c r="G12" s="52" t="str">
        <x:v>BOOK-POST-004, BOOK-POST-005, BOOK-POST-013</x:v>
      </x:c>
      <x:c r="H12" s="52" t="str">
        <x:v>Во всех вариантах возвращается 500 Internal Server Error без диагностического тела.</x:v>
      </x:c>
    </x:row>
    <x:row r="13" ht="54" customHeight="1">
      <x:c r="A13" s="52" t="str">
        <x:v>BUG-003</x:v>
      </x:c>
      <x:c r="B13" s="52" t="str">
        <x:v>Обязательные строковые поля не валидируются</x:v>
      </x:c>
      <x:c r="C13" s="52" t="str">
        <x:v>POST /booking</x:v>
      </x:c>
      <x:c r="D13" s="52" t="str">
        <x:v>Значительный</x:v>
      </x:c>
      <x:c r="E13" s="52" t="str">
        <x:v>P1</x:v>
      </x:c>
      <x:c r="F13" s="52" t="str">
        <x:v>Открыт</x:v>
      </x:c>
      <x:c r="G13" s="52" t="str">
        <x:v>BOOK-POST-006, BOOK-POST-007</x:v>
      </x:c>
      <x:c r="H13" s="52" t="str">
        <x:v>200 OK; создаются брони без additionalneeds и с пустым firstname.</x:v>
      </x:c>
    </x:row>
    <x:row r="14" ht="54" customHeight="1">
      <x:c r="A14" s="52" t="str">
        <x:v>BUG-004</x:v>
      </x:c>
      <x:c r="B14" s="52" t="str">
        <x:v>Неверные типы и даты принимаются и повреждают данные</x:v>
      </x:c>
      <x:c r="C14" s="52" t="str">
        <x:v>POST/PUT/PATCH /booking</x:v>
      </x:c>
      <x:c r="D14" s="52" t="str">
        <x:v>Критический</x:v>
      </x:c>
      <x:c r="E14" s="52" t="str">
        <x:v>P1</x:v>
      </x:c>
      <x:c r="F14" s="52" t="str">
        <x:v>Открыт</x:v>
      </x:c>
      <x:c r="G14" s="52" t="str">
        <x:v>BOOK-POST-008..010, BOOK-PUT-007, BOOK-PATCH-006</x:v>
      </x:c>
      <x:c r="H14" s="52" t="str">
        <x:v>200 OK; totalprice сериализуется как null, depositpaid как true, дата как "0NaN-aN-aN"; PUT/PATCH также принимают неверные типы.</x:v>
      </x:c>
    </x:row>
    <x:row r="15" ht="54" customHeight="1">
      <x:c r="A15" s="52" t="str">
        <x:v>BUG-005</x:v>
      </x:c>
      <x:c r="B15" s="52" t="str">
        <x:v>XML depositpaid=false преобразуется в true</x:v>
      </x:c>
      <x:c r="C15" s="52" t="str">
        <x:v>POST /booking</x:v>
      </x:c>
      <x:c r="D15" s="52" t="str">
        <x:v>Критический</x:v>
      </x:c>
      <x:c r="E15" s="52" t="str">
        <x:v>P1</x:v>
      </x:c>
      <x:c r="F15" s="52" t="str">
        <x:v>Открыт</x:v>
      </x:c>
      <x:c r="G15" s="52" t="str">
        <x:v>BOOK-POST-002</x:v>
      </x:c>
      <x:c r="H15" s="52" t="str">
        <x:v>HTTP 200; depositpaid имеет boolean true.</x:v>
      </x:c>
    </x:row>
    <x:row r="16" ht="54" customHeight="1">
      <x:c r="A16" s="52" t="str">
        <x:v>BUG-006</x:v>
      </x:c>
      <x:c r="B16" s="52" t="str">
        <x:v>Date-фильтры нарушают документированные условия и дают HTTP 500 на невалидном query</x:v>
      </x:c>
      <x:c r="C16" s="52" t="str">
        <x:v>GET /booking?checkin/checkout</x:v>
      </x:c>
      <x:c r="D16" s="52" t="str">
        <x:v>Критический</x:v>
      </x:c>
      <x:c r="E16" s="52" t="str">
        <x:v>P1</x:v>
      </x:c>
      <x:c r="F16" s="52" t="str">
        <x:v>Открыт</x:v>
      </x:c>
      <x:c r="G16" s="52" t="str">
        <x:v>BOOK-LIST-007, BOOK-LIST-009, BOOK-LIST-010</x:v>
      </x:c>
      <x:c r="H16" s="52" t="str">
        <x:v>Оба валидных запроса возвращают 200, но не включают созданную бронь; невалидная дата возвращает 500 Internal Server Error.</x:v>
      </x:c>
    </x:row>
    <x:row r="17" ht="54" customHeight="1">
      <x:c r="A17" s="52" t="str">
        <x:v>BUG-007</x:v>
      </x:c>
      <x:c r="B17" s="52" t="str">
        <x:v>Некорректная обработка Accept и Content-Type ответа</x:v>
      </x:c>
      <x:c r="C17" s="52" t="str">
        <x:v>POST/GET /booking</x:v>
      </x:c>
      <x:c r="D17" s="52" t="str">
        <x:v>Незначительный</x:v>
      </x:c>
      <x:c r="E17" s="52" t="str">
        <x:v>P2</x:v>
      </x:c>
      <x:c r="F17" s="52" t="str">
        <x:v>Открыт</x:v>
      </x:c>
      <x:c r="G17" s="52" t="str">
        <x:v>BOOK-GET-002, BOOK-GET-006, BOOK-POST-012</x:v>
      </x:c>
      <x:c r="H17" s="52" t="str">
        <x:v>Неподдерживаемый формат: 418 I'm a Teapot; XML-тело возвращается с Content-Type text/html.</x:v>
      </x:c>
    </x:row>
    <x:row r="18" ht="54" customHeight="1">
      <x:c r="A18" s="52" t="str">
        <x:v>BUG-008</x:v>
      </x:c>
      <x:c r="B18" s="52" t="str">
        <x:v>ID с числовым префиксом и хвостом разрешается как валидный</x:v>
      </x:c>
      <x:c r="C18" s="52" t="str">
        <x:v>GET /booking/:id</x:v>
      </x:c>
      <x:c r="D18" s="52" t="str">
        <x:v>Значительный</x:v>
      </x:c>
      <x:c r="E18" s="52" t="str">
        <x:v>P1</x:v>
      </x:c>
      <x:c r="F18" s="52" t="str">
        <x:v>Открыт</x:v>
      </x:c>
      <x:c r="G18" s="52" t="str">
        <x:v>BOOK-GET-005</x:v>
      </x:c>
      <x:c r="H18" s="52" t="str">
        <x:v>200 OK; возвращается бронь для числового префикса.</x:v>
      </x:c>
    </x:row>
    <x:row r="19" ht="54" customHeight="1">
      <x:c r="A19" s="52" t="str">
        <x:v>BUG-009</x:v>
      </x:c>
      <x:c r="B19" s="52" t="str">
        <x:v>PUT/PATCH/DELETE отсутствующей брони возвращают 405 вместо 404</x:v>
      </x:c>
      <x:c r="C19" s="52" t="str">
        <x:v>PUT/PATCH/DELETE /booking/:id</x:v>
      </x:c>
      <x:c r="D19" s="52" t="str">
        <x:v>Незначительный</x:v>
      </x:c>
      <x:c r="E19" s="52" t="str">
        <x:v>P2</x:v>
      </x:c>
      <x:c r="F19" s="52" t="str">
        <x:v>Открыт</x:v>
      </x:c>
      <x:c r="G19" s="52" t="str">
        <x:v>BOOK-PUT-008, BOOK-PATCH-007, BOOK-DELETE-006..007</x:v>
      </x:c>
      <x:c r="H19" s="52" t="str">
        <x:v>405 Method Not Allowed во всех случаях.</x:v>
      </x:c>
    </x:row>
  </x:sheetData>
  <x:mergeCells>
    <x:mergeCell ref="A1:H1"/>
    <x:mergeCell ref="A2:H2"/>
    <x:mergeCell ref="D4:H4"/>
    <x:mergeCell ref="D5:H8"/>
  </x:mergeCells>
  <x:conditionalFormatting sqref="E11:E19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4e133204a94b44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18" hidden="0" customWidth="1"/>
    <x:col min="5" max="5" width="12" hidden="0" customWidth="1"/>
    <x:col min="6" max="6" width="14" hidden="0" customWidth="1"/>
    <x:col min="7" max="7" width="34" hidden="0" customWidth="1"/>
    <x:col min="8" max="8" width="30" hidden="0" customWidth="1"/>
    <x:col min="9" max="9" width="55" hidden="0" customWidth="1"/>
    <x:col min="10" max="10" width="48" hidden="0" customWidth="1"/>
    <x:col min="11" max="11" width="50" hidden="0" customWidth="1"/>
    <x:col min="12" max="12" width="48" hidden="0" customWidth="1"/>
    <x:col min="13" max="13" width="50" hidden="0" customWidth="1"/>
    <x:col min="14" max="14" width="36" hidden="0" customWidth="1"/>
    <x:col min="15" max="15" width="58" hidden="0" customWidth="1"/>
  </x:cols>
  <x:sheetData>
    <x:row r="1" ht="32" customHeight="1">
      <x:c r="A1" s="3" t="str">
        <x:v>Детальные баг-репорты</x:v>
      </x:c>
      <x:c r="B1" s="3" t="str">
        <x:v>Детальные баг-репорты</x:v>
      </x:c>
      <x:c r="C1" s="3" t="str">
        <x:v>Детальные баг-репорты</x:v>
      </x:c>
      <x:c r="D1" s="3" t="str">
        <x:v>Детальные баг-репорты</x:v>
      </x:c>
      <x:c r="E1" s="3" t="str">
        <x:v>Детальные баг-репорты</x:v>
      </x:c>
      <x:c r="F1" s="3" t="str">
        <x:v>Детальные баг-репорты</x:v>
      </x:c>
      <x:c r="G1" s="3" t="str">
        <x:v>Детальные баг-репорты</x:v>
      </x:c>
      <x:c r="H1" s="3" t="str">
        <x:v>Детальные баг-репорты</x:v>
      </x:c>
      <x:c r="I1" s="3" t="str">
        <x:v>Детальные баг-репорты</x:v>
      </x:c>
      <x:c r="J1" s="3" t="str">
        <x:v>Детальные баг-репорты</x:v>
      </x:c>
      <x:c r="K1" s="3" t="str">
        <x:v>Детальные баг-репорты</x:v>
      </x:c>
      <x:c r="L1" s="3" t="str">
        <x:v>Детальные баг-репорты</x:v>
      </x:c>
      <x:c r="M1" s="3" t="str">
        <x:v>Детальные баг-репорты</x:v>
      </x:c>
      <x:c r="N1" s="3" t="str">
        <x:v>Детальные баг-репорты</x:v>
      </x:c>
      <x:c r="O1" s="3" t="str">
        <x:v>Детальные баг-репорты</x:v>
      </x:c>
    </x:row>
    <x:row r="2" ht="32" customHeight="1">
      <x:c r="A2" s="7" t="str">
        <x:v>Шаги, ожидаемый и фактический результаты, влияние и рекомендации.</x:v>
      </x:c>
      <x:c r="B2" s="7" t="str">
        <x:v>Шаги, ожидаемый и фактический результаты, влияние и рекомендации.</x:v>
      </x:c>
      <x:c r="C2" s="7" t="str">
        <x:v>Шаги, ожидаемый и фактический результаты, влияние и рекомендации.</x:v>
      </x:c>
      <x:c r="D2" s="7" t="str">
        <x:v>Шаги, ожидаемый и фактический результаты, влияние и рекомендации.</x:v>
      </x:c>
      <x:c r="E2" s="7" t="str">
        <x:v>Шаги, ожидаемый и фактический результаты, влияние и рекомендации.</x:v>
      </x:c>
      <x:c r="F2" s="7" t="str">
        <x:v>Шаги, ожидаемый и фактический результаты, влияние и рекомендации.</x:v>
      </x:c>
      <x:c r="G2" s="7" t="str">
        <x:v>Шаги, ожидаемый и фактический результаты, влияние и рекомендации.</x:v>
      </x:c>
      <x:c r="H2" s="7" t="str">
        <x:v>Шаги, ожидаемый и фактический результаты, влияние и рекомендации.</x:v>
      </x:c>
      <x:c r="I2" s="7" t="str">
        <x:v>Шаги, ожидаемый и фактический результаты, влияние и рекомендации.</x:v>
      </x:c>
      <x:c r="J2" s="7" t="str">
        <x:v>Шаги, ожидаемый и фактический результаты, влияние и рекомендации.</x:v>
      </x:c>
      <x:c r="K2" s="7" t="str">
        <x:v>Шаги, ожидаемый и фактический результаты, влияние и рекомендации.</x:v>
      </x:c>
      <x:c r="L2" s="7" t="str">
        <x:v>Шаги, ожидаемый и фактический результаты, влияние и рекомендации.</x:v>
      </x:c>
      <x:c r="M2" s="7" t="str">
        <x:v>Шаги, ожидаемый и фактический результаты, влияние и рекомендации.</x:v>
      </x:c>
      <x:c r="N2" s="7" t="str">
        <x:v>Шаги, ожидаемый и фактический результаты, влияние и рекомендации.</x:v>
      </x:c>
      <x:c r="O2" s="7" t="str">
        <x:v>Шаги, ожидаемый и фактический результаты, влияние и рекомендации.</x:v>
      </x:c>
    </x:row>
    <x:row r="4" ht="32" customHeight="1">
      <x:c r="A4" s="20" t="str">
        <x:v>ID</x:v>
      </x:c>
      <x:c r="B4" s="20" t="str">
        <x:v>Название</x:v>
      </x:c>
      <x:c r="C4" s="20" t="str">
        <x:v>Endpoint</x:v>
      </x:c>
      <x:c r="D4" s="20" t="str">
        <x:v>Severity</x:v>
      </x:c>
      <x:c r="E4" s="20" t="str">
        <x:v>Priority</x:v>
      </x:c>
      <x:c r="F4" s="20" t="str">
        <x:v>Status</x:v>
      </x:c>
      <x:c r="G4" s="20" t="str">
        <x:v>Окружение</x:v>
      </x:c>
      <x:c r="H4" s="20" t="str">
        <x:v>Предусловия</x:v>
      </x:c>
      <x:c r="I4" s="20" t="str">
        <x:v>Шаги воспроизведения</x:v>
      </x:c>
      <x:c r="J4" s="20" t="str">
        <x:v>Ожидаемый результат</x:v>
      </x:c>
      <x:c r="K4" s="20" t="str">
        <x:v>Фактический результат</x:v>
      </x:c>
      <x:c r="L4" s="20" t="str">
        <x:v>Влияние</x:v>
      </x:c>
      <x:c r="M4" s="20" t="str">
        <x:v>Рекомендация</x:v>
      </x:c>
      <x:c r="N4" s="20" t="str">
        <x:v>Доказательства / Test IDs</x:v>
      </x:c>
      <x:c r="O4" s="20" t="str">
        <x:v>Источник</x:v>
      </x:c>
    </x:row>
    <x:row r="5" ht="112" customHeight="1">
      <x:c r="A5" s="71" t="str">
        <x:v>BUG-001</x:v>
      </x:c>
      <x:c r="B5" s="72" t="str">
        <x:v>Ошибочная аутентификация возвращает HTTP 200</x:v>
      </x:c>
      <x:c r="C5" s="72" t="str">
        <x:v>POST /auth</x:v>
      </x:c>
      <x:c r="D5" s="72" t="str">
        <x:v>Значительный</x:v>
      </x:c>
      <x:c r="E5" s="72" t="str">
        <x:v>P1</x:v>
      </x:c>
      <x:c r="F5" s="72" t="str">
        <x:v>Открыт</x:v>
      </x:c>
      <x:c r="G5" s="72" t="str">
        <x:v>Public Restful Booker; 2026-09-03 00:01 UTC; JSON</x:v>
      </x:c>
      <x:c r="H5" s="72" t="str">
        <x:v>Сервис доступен.</x:v>
      </x:c>
      <x:c r="I5" s="72" t="str">
        <x:v>1. POST /auth с Content-Type: application/json.
2. Тело: {"username":"admin","password":"wrong"}.
3. Повторить без password.</x:v>
      </x:c>
      <x:c r="J5" s="72" t="str">
        <x:v>Неверные учётные данные: 401 Unauthorized. Неполный payload: 400 Bad Request. Token отсутствует.</x:v>
      </x:c>
      <x:c r="K5" s="72" t="str">
        <x:v>Оба запроса возвращают 200 OK и {"reason":"Bad credentials"}.</x:v>
      </x:c>
      <x:c r="L5" s="72" t="str">
        <x:v>Клиенты и мониторинг могут принять неуспешную аутентификацию за успешный 2xx; нарушается контракт обработки ошибок.</x:v>
      </x:c>
      <x:c r="M5" s="72" t="str">
        <x:v>Возвращать 401 для неверных credentials и 400 для невалидного payload; унифицировать error schema.</x:v>
      </x:c>
      <x:c r="N5" s="72" t="str">
        <x:v>AUTH-002, AUTH-003</x:v>
      </x:c>
      <x:c r="O5" s="73" t="str">
        <x:v>https://restful-booker.herokuapp.com/apidoc/index.html</x:v>
      </x:c>
    </x:row>
    <x:row r="6" ht="112" customHeight="1">
      <x:c r="A6" s="74" t="str">
        <x:v>BUG-002</x:v>
      </x:c>
      <x:c r="B6" s="75" t="str">
        <x:v>Клиентские ошибки POST /booking приводят к HTTP 500</x:v>
      </x:c>
      <x:c r="C6" s="75" t="str">
        <x:v>POST /booking</x:v>
      </x:c>
      <x:c r="D6" s="75" t="str">
        <x:v>Критический</x:v>
      </x:c>
      <x:c r="E6" s="75" t="str">
        <x:v>P1</x:v>
      </x:c>
      <x:c r="F6" s="75" t="str">
        <x:v>Открыт</x:v>
      </x:c>
      <x:c r="G6" s="75" t="str">
        <x:v>Public Restful Booker; 2026-09-03 00:01 UTC</x:v>
      </x:c>
      <x:c r="H6" s="75" t="str">
        <x:v>Сервис доступен.</x:v>
      </x:c>
      <x:c r="I6" s="75" t="str">
        <x:v>1. Отправить JSON без firstname или без bookingdates.checkout.
2. Отправить корректный JSON-текст с Content-Type: text/plain.</x:v>
      </x:c>
      <x:c r="J6" s="75" t="str">
        <x:v>400 для невалидного payload; 415 для неподдерживаемого Content-Type; без создания записи.</x:v>
      </x:c>
      <x:c r="K6" s="75" t="str">
        <x:v>Во всех вариантах возвращается 500 Internal Server Error без диагностического тела.</x:v>
      </x:c>
      <x:c r="L6" s="75" t="str">
        <x:v>Ошибка клиента маскируется как сбой сервера; усложняется обработка ошибок и мониторинг; возможен шум инцидентов.</x:v>
      </x:c>
      <x:c r="M6" s="75" t="str">
        <x:v>Перехватывать ошибки разбора/валидации и возвращать 400/415 с машиночитаемым описанием.</x:v>
      </x:c>
      <x:c r="N6" s="75" t="str">
        <x:v>BOOK-POST-004, BOOK-POST-005, BOOK-POST-013</x:v>
      </x:c>
      <x:c r="O6" s="76" t="str">
        <x:v>https://restful-booker.herokuapp.com/apidoc/index.html</x:v>
      </x:c>
    </x:row>
    <x:row r="7" ht="112" customHeight="1">
      <x:c r="A7" s="74" t="str">
        <x:v>BUG-003</x:v>
      </x:c>
      <x:c r="B7" s="75" t="str">
        <x:v>Обязательные строковые поля не валидируются</x:v>
      </x:c>
      <x:c r="C7" s="75" t="str">
        <x:v>POST /booking</x:v>
      </x:c>
      <x:c r="D7" s="75" t="str">
        <x:v>Значительный</x:v>
      </x:c>
      <x:c r="E7" s="75" t="str">
        <x:v>P1</x:v>
      </x:c>
      <x:c r="F7" s="75" t="str">
        <x:v>Открыт</x:v>
      </x:c>
      <x:c r="G7" s="75" t="str">
        <x:v>Public Restful Booker; 2026-09-03 00:01 UTC</x:v>
      </x:c>
      <x:c r="H7" s="75" t="str">
        <x:v>Сервис доступен.</x:v>
      </x:c>
      <x:c r="I7" s="75" t="str">
        <x:v>1. Отправить валидный payload без additionalneeds.
2. Отправить payload с firstname=пустая строка.</x:v>
      </x:c>
      <x:c r="J7" s="75" t="str">
        <x:v>400 Bad Request; bookingid не создаётся.</x:v>
      </x:c>
      <x:c r="K7" s="75" t="str">
        <x:v>200 OK; создаются брони без additionalneeds и с пустым firstname.</x:v>
      </x:c>
      <x:c r="L7" s="75" t="str">
        <x:v>В хранилище попадают записи, не соответствующие документированному контракту и минимальным требованиям качества данных.</x:v>
      </x:c>
      <x:c r="M7" s="75" t="str">
        <x:v>Добавить required/non-empty правила для всех обязательных строк; покрыть единым валидатором POST и PUT.</x:v>
      </x:c>
      <x:c r="N7" s="75" t="str">
        <x:v>BOOK-POST-006, BOOK-POST-007</x:v>
      </x:c>
      <x:c r="O7" s="76" t="str">
        <x:v>https://restful-booker.herokuapp.com/apidoc/index.html</x:v>
      </x:c>
    </x:row>
    <x:row r="8" ht="112" customHeight="1">
      <x:c r="A8" s="74" t="str">
        <x:v>BUG-004</x:v>
      </x:c>
      <x:c r="B8" s="75" t="str">
        <x:v>Неверные типы и даты принимаются и повреждают данные</x:v>
      </x:c>
      <x:c r="C8" s="75" t="str">
        <x:v>POST/PUT/PATCH /booking</x:v>
      </x:c>
      <x:c r="D8" s="75" t="str">
        <x:v>Критический</x:v>
      </x:c>
      <x:c r="E8" s="75" t="str">
        <x:v>P1</x:v>
      </x:c>
      <x:c r="F8" s="75" t="str">
        <x:v>Открыт</x:v>
      </x:c>
      <x:c r="G8" s="75" t="str">
        <x:v>Public Restful Booker; 2026-09-03 00:01 UTC; JSON</x:v>
      </x:c>
      <x:c r="H8" s="75" t="str">
        <x:v>Для PUT/PATCH создана бронь и получен token.</x:v>
      </x:c>
      <x:c r="I8" s="75" t="str">
        <x:v>1. Передать totalprice="three hundred" и depositpaid="yes" в POST.
2. Передать checkin="not-a-date".
3. Повторить неверный тип в PUT/PATCH.</x:v>
      </x:c>
      <x:c r="J8" s="75" t="str">
        <x:v>400 Bad Request; существующие данные не изменяются; новая запись не создаётся.</x:v>
      </x:c>
      <x:c r="K8" s="75" t="str">
        <x:v>200 OK; totalprice сериализуется как null, depositpaid как true, дата как "0NaN-aN-aN"; PUT/PATCH также принимают неверные типы.</x:v>
      </x:c>
      <x:c r="L8" s="75" t="str">
        <x:v>Нарушение целостности данных; некорректные записи могут ломать выборки по датам и бизнес-логику.</x:v>
      </x:c>
      <x:c r="M8" s="75" t="str">
        <x:v>Ввести строгую schema validation типов, формата ISO date и правила checkin &lt; checkout до записи в БД.</x:v>
      </x:c>
      <x:c r="N8" s="75" t="str">
        <x:v>BOOK-POST-008..010, BOOK-PUT-007, BOOK-PATCH-006</x:v>
      </x:c>
      <x:c r="O8" s="76" t="str">
        <x:v>https://restful-booker.herokuapp.com/apidoc/index.html</x:v>
      </x:c>
    </x:row>
    <x:row r="9" ht="112" customHeight="1">
      <x:c r="A9" s="74" t="str">
        <x:v>BUG-005</x:v>
      </x:c>
      <x:c r="B9" s="75" t="str">
        <x:v>XML depositpaid=false преобразуется в true</x:v>
      </x:c>
      <x:c r="C9" s="75" t="str">
        <x:v>POST /booking</x:v>
      </x:c>
      <x:c r="D9" s="75" t="str">
        <x:v>Критический</x:v>
      </x:c>
      <x:c r="E9" s="75" t="str">
        <x:v>P1</x:v>
      </x:c>
      <x:c r="F9" s="75" t="str">
        <x:v>Открыт</x:v>
      </x:c>
      <x:c r="G9" s="75" t="str">
        <x:v>Public Restful Booker; 2026-09-02 23:22 UTC; Content-Type text/xml</x:v>
      </x:c>
      <x:c r="H9" s="75" t="str">
        <x:v>Сервис доступен.</x:v>
      </x:c>
      <x:c r="I9" s="75" t="str">
        <x:v>1. Отправить валидный XML с &lt;depositpaid&gt;false&lt;/depositpaid&gt;.
2. Запросить JSON-ответ/созданную бронь.</x:v>
      </x:c>
      <x:c r="J9" s="75" t="str">
        <x:v>depositpaid имеет boolean false.</x:v>
      </x:c>
      <x:c r="K9" s="75" t="str">
        <x:v>HTTP 200; depositpaid имеет boolean true.</x:v>
      </x:c>
      <x:c r="L9" s="75" t="str">
        <x:v>Финансовый признак меняет смысл; система фиксирует внесённый депозит, хотя клиент передал обратное.</x:v>
      </x:c>
      <x:c r="M9" s="75" t="str">
        <x:v>Парсить XML boolean по явным значениям true/false и добавить контрактные тесты сериализации.</x:v>
      </x:c>
      <x:c r="N9" s="75" t="str">
        <x:v>BOOK-POST-002</x:v>
      </x:c>
      <x:c r="O9" s="76" t="str">
        <x:v>https://restful-booker.herokuapp.com/apidoc/index.html</x:v>
      </x:c>
    </x:row>
    <x:row r="10" ht="112" customHeight="1">
      <x:c r="A10" s="74" t="str">
        <x:v>BUG-006</x:v>
      </x:c>
      <x:c r="B10" s="75" t="str">
        <x:v>Date-фильтры нарушают документированные условия и дают HTTP 500 на невалидном query</x:v>
      </x:c>
      <x:c r="C10" s="75" t="str">
        <x:v>GET /booking?checkin/checkout</x:v>
      </x:c>
      <x:c r="D10" s="75" t="str">
        <x:v>Критический</x:v>
      </x:c>
      <x:c r="E10" s="75" t="str">
        <x:v>P1</x:v>
      </x:c>
      <x:c r="F10" s="75" t="str">
        <x:v>Открыт</x:v>
      </x:c>
      <x:c r="G10" s="75" t="str">
        <x:v>Public Restful Booker; 2026-09-03 00:01 UTC</x:v>
      </x:c>
      <x:c r="H10" s="75" t="str">
        <x:v>Создана валидная бронь с checkin=2030-06-15 и checkout=2030-06-20.</x:v>
      </x:c>
      <x:c r="I10" s="75" t="str">
        <x:v>1. GET /booking?checkin=2030-06-15.
2. GET /booking?checkout=2030-06-19.
3. GET /booking?checkin=not-a-date.</x:v>
      </x:c>
      <x:c r="J10" s="75" t="str">
        <x:v>Равная checkin и более поздняя checkout удовлетворяют документированному условию &gt;=; невалидная дата даёт 400.</x:v>
      </x:c>
      <x:c r="K10" s="75" t="str">
        <x:v>Оба валидных запроса возвращают 200, но не включают созданную бронь; невалидная дата возвращает 500 Internal Server Error.</x:v>
      </x:c>
      <x:c r="L10" s="75" t="str">
        <x:v>Клиенты получают неполные выборки; ошибочный query превращается в серверную ошибку. При наличии повреждённых дат первый исследовательский прогон также дал 500 на валидных фильтрах.</x:v>
      </x:c>
      <x:c r="M10" s="75" t="str">
        <x:v>Согласовать направления и включительность сравнений с документацией, валидировать ISO date в записи и query, безопасно обрабатывать повреждённые данные.</x:v>
      </x:c>
      <x:c r="N10" s="75" t="str">
        <x:v>BOOK-LIST-007, BOOK-LIST-009, BOOK-LIST-010</x:v>
      </x:c>
      <x:c r="O10" s="76" t="str">
        <x:v>https://restful-booker.herokuapp.com/apidoc/index.html</x:v>
      </x:c>
    </x:row>
    <x:row r="11" ht="112" customHeight="1">
      <x:c r="A11" s="74" t="str">
        <x:v>BUG-007</x:v>
      </x:c>
      <x:c r="B11" s="75" t="str">
        <x:v>Некорректная обработка Accept и Content-Type ответа</x:v>
      </x:c>
      <x:c r="C11" s="75" t="str">
        <x:v>POST/GET /booking</x:v>
      </x:c>
      <x:c r="D11" s="75" t="str">
        <x:v>Незначительный</x:v>
      </x:c>
      <x:c r="E11" s="75" t="str">
        <x:v>P2</x:v>
      </x:c>
      <x:c r="F11" s="75" t="str">
        <x:v>Открыт</x:v>
      </x:c>
      <x:c r="G11" s="75" t="str">
        <x:v>Public Restful Booker; 2026-09-03 00:01 UTC</x:v>
      </x:c>
      <x:c r="H11" s="75" t="str">
        <x:v>Существует бронь.</x:v>
      </x:c>
      <x:c r="I11" s="75" t="str">
        <x:v>1. GET /booking/:id с Accept: application/pdf.
2. POST /booking с тем же Accept.
3. GET с Accept: application/xml.</x:v>
      </x:c>
      <x:c r="J11" s="75" t="str">
        <x:v>Неподдерживаемый формат: 406. XML-ответ: Content-Type application/xml.</x:v>
      </x:c>
      <x:c r="K11" s="75" t="str">
        <x:v>Неподдерживаемый формат: 418 I'm a Teapot; XML-тело возвращается с Content-Type text/html.</x:v>
      </x:c>
      <x:c r="L11" s="75" t="str">
        <x:v>Стандартные HTTP-клиенты неверно определяют формат/тип ошибки; возможны ошибки десериализации.</x:v>
      </x:c>
      <x:c r="M11" s="75" t="str">
        <x:v>Использовать 406 и корректный media type application/xml; не создавать запись при неуспешном согласовании ответа.</x:v>
      </x:c>
      <x:c r="N11" s="75" t="str">
        <x:v>BOOK-GET-002, BOOK-GET-006, BOOK-POST-012</x:v>
      </x:c>
      <x:c r="O11" s="76" t="str">
        <x:v>https://restful-booker.herokuapp.com/apidoc/index.html</x:v>
      </x:c>
    </x:row>
    <x:row r="12" ht="112" customHeight="1">
      <x:c r="A12" s="74" t="str">
        <x:v>BUG-008</x:v>
      </x:c>
      <x:c r="B12" s="75" t="str">
        <x:v>ID с числовым префиксом и хвостом разрешается как валидный</x:v>
      </x:c>
      <x:c r="C12" s="75" t="str">
        <x:v>GET /booking/:id</x:v>
      </x:c>
      <x:c r="D12" s="75" t="str">
        <x:v>Значительный</x:v>
      </x:c>
      <x:c r="E12" s="75" t="str">
        <x:v>P1</x:v>
      </x:c>
      <x:c r="F12" s="75" t="str">
        <x:v>Открыт</x:v>
      </x:c>
      <x:c r="G12" s="75" t="str">
        <x:v>Public Restful Booker; 2026-09-03 00:01 UTC</x:v>
      </x:c>
      <x:c r="H12" s="75" t="str">
        <x:v>Создана бронь и известен её числовой ID.</x:v>
      </x:c>
      <x:c r="I12" s="75" t="str">
        <x:v>1. К валидному ID дописать abc.
2. GET /booking/{id}abc.</x:v>
      </x:c>
      <x:c r="J12" s="75" t="str">
        <x:v>400 или 404; данные брони не возвращаются.</x:v>
      </x:c>
      <x:c r="K12" s="75" t="str">
        <x:v>200 OK; возвращается бронь для числового префикса.</x:v>
      </x:c>
      <x:c r="L12" s="75" t="str">
        <x:v>Нечёткая адресация ресурса; тот же механизм потенциально опасен для изменяющих/удаляющих методов.</x:v>
      </x:c>
      <x:c r="M12" s="75" t="str">
        <x:v>До обращения к хранилищу валидировать весь path-параметр регулярным выражением/целочисленным парсером без частичного разбора.</x:v>
      </x:c>
      <x:c r="N12" s="75" t="str">
        <x:v>BOOK-GET-005</x:v>
      </x:c>
      <x:c r="O12" s="76" t="str">
        <x:v>https://github.com/mwinteringham/restful-booker/blob/main/routes/index.js</x:v>
      </x:c>
    </x:row>
    <x:row r="13" ht="112" customHeight="1">
      <x:c r="A13" s="77" t="str">
        <x:v>BUG-009</x:v>
      </x:c>
      <x:c r="B13" s="78" t="str">
        <x:v>PUT/PATCH/DELETE отсутствующей брони возвращают 405 вместо 404</x:v>
      </x:c>
      <x:c r="C13" s="78" t="str">
        <x:v>PUT/PATCH/DELETE /booking/:id</x:v>
      </x:c>
      <x:c r="D13" s="78" t="str">
        <x:v>Незначительный</x:v>
      </x:c>
      <x:c r="E13" s="78" t="str">
        <x:v>P2</x:v>
      </x:c>
      <x:c r="F13" s="78" t="str">
        <x:v>Открыт</x:v>
      </x:c>
      <x:c r="G13" s="78" t="str">
        <x:v>Public Restful Booker; 2026-09-03 00:01 UTC</x:v>
      </x:c>
      <x:c r="H13" s="78" t="str">
        <x:v>Получен валидный token; ID 999999999 отсутствует.</x:v>
      </x:c>
      <x:c r="I13" s="78" t="str">
        <x:v>1. Выполнить авторизованные PUT, PATCH и DELETE по ID 999999999.
2. Повторно удалить уже удалённую бронь.</x:v>
      </x:c>
      <x:c r="J13" s="78" t="str">
        <x:v>404 Not Found: метод разрешён, но ресурс отсутствует.</x:v>
      </x:c>
      <x:c r="K13" s="78" t="str">
        <x:v>405 Method Not Allowed во всех случаях.</x:v>
      </x:c>
      <x:c r="L13" s="78" t="str">
        <x:v>Клиенты не могут отличить отсутствие ресурса от запрета HTTP-метода; ретраи и обработка ошибок работают неверно.</x:v>
      </x:c>
      <x:c r="M13" s="78" t="str">
        <x:v>Возвращать 404 для отсутствующего ресурса; 405 использовать только для неподдерживаемого метода и добавлять Allow.</x:v>
      </x:c>
      <x:c r="N13" s="78" t="str">
        <x:v>BOOK-PUT-008, BOOK-PATCH-007, BOOK-DELETE-006..007</x:v>
      </x:c>
      <x:c r="O13" s="79" t="str">
        <x:v>https://github.com/mwinteringham/restful-booker/blob/main/routes/index.js</x:v>
      </x:c>
    </x:row>
  </x:sheetData>
  <x:mergeCells>
    <x:mergeCell ref="A1:O1"/>
    <x:mergeCell ref="A2:O2"/>
  </x:mergeCells>
  <x:conditionalFormatting sqref="E5:E13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dataValidations count="3">
    <x:dataValidation type="list" sqref="D5:D13">
      <x:formula1>"Блокирующий,Критический,Значительный,Незначительный"</x:formula1>
    </x:dataValidation>
    <x:dataValidation type="list" sqref="E5:E13">
      <x:formula1>"P1,P2,P3"</x:formula1>
    </x:dataValidation>
    <x:dataValidation type="list" sqref="F5:F13">
      <x:formula1>"Открыт,В работе,Исправлен,Отклонён"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9110a6537645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52" hidden="0" customWidth="1"/>
    <x:col min="4" max="4" width="24" hidden="0" customWidth="1"/>
    <x:col min="5" max="5" width="16" hidden="0" customWidth="1"/>
    <x:col min="6" max="6" width="40" hidden="0" customWidth="1"/>
    <x:col min="7" max="7" width="20" hidden="0" customWidth="1"/>
    <x:col min="8" max="8" width="42" hidden="0" customWidth="1"/>
  </x:cols>
  <x:sheetData>
    <x:row r="1" ht="32" customHeight="1">
      <x:c r="A1" s="3" t="str">
        <x:v>Доказательства живого прогона</x:v>
      </x:c>
      <x:c r="B1" s="3" t="str">
        <x:v>Доказательства живого прогона</x:v>
      </x:c>
      <x:c r="C1" s="3" t="str">
        <x:v>Доказательства живого прогона</x:v>
      </x:c>
      <x:c r="D1" s="3" t="str">
        <x:v>Доказательства живого прогона</x:v>
      </x:c>
      <x:c r="E1" s="3" t="str">
        <x:v>Доказательства живого прогона</x:v>
      </x:c>
      <x:c r="F1" s="3" t="str">
        <x:v>Доказательства живого прогона</x:v>
      </x:c>
      <x:c r="G1" s="3" t="str">
        <x:v>Доказательства живого прогона</x:v>
      </x:c>
      <x:c r="H1" s="3" t="str">
        <x:v>Доказательства живого прогона</x:v>
      </x:c>
    </x:row>
    <x:row r="2" ht="32" customHeight="1">
      <x:c r="A2" s="7" t="str">
        <x:v>Ключевые запросы и ответы без токенов и персональных данных.</x:v>
      </x:c>
      <x:c r="B2" s="7" t="str">
        <x:v>Ключевые запросы и ответы без токенов и персональных данных.</x:v>
      </x:c>
      <x:c r="C2" s="7" t="str">
        <x:v>Ключевые запросы и ответы без токенов и персональных данных.</x:v>
      </x:c>
      <x:c r="D2" s="7" t="str">
        <x:v>Ключевые запросы и ответы без токенов и персональных данных.</x:v>
      </x:c>
      <x:c r="E2" s="7" t="str">
        <x:v>Ключевые запросы и ответы без токенов и персональных данных.</x:v>
      </x:c>
      <x:c r="F2" s="7" t="str">
        <x:v>Ключевые запросы и ответы без токенов и персональных данных.</x:v>
      </x:c>
      <x:c r="G2" s="7" t="str">
        <x:v>Ключевые запросы и ответы без токенов и персональных данных.</x:v>
      </x:c>
      <x:c r="H2" s="7" t="str">
        <x:v>Ключевые запросы и ответы без токенов и персональных данных.</x:v>
      </x:c>
    </x:row>
    <x:row r="4" ht="32" customHeight="1">
      <x:c r="A4" s="20" t="str">
        <x:v>Bug ID</x:v>
      </x:c>
      <x:c r="B4" s="20" t="str">
        <x:v>Test/Probe</x:v>
      </x:c>
      <x:c r="C4" s="20" t="str">
        <x:v>Request</x:v>
      </x:c>
      <x:c r="D4" s="20" t="str">
        <x:v>Expected</x:v>
      </x:c>
      <x:c r="E4" s="20" t="str">
        <x:v>Actual status</x:v>
      </x:c>
      <x:c r="F4" s="20" t="str">
        <x:v>Actual response</x:v>
      </x:c>
      <x:c r="G4" s="20" t="str">
        <x:v>Timestamp UTC</x:v>
      </x:c>
      <x:c r="H4" s="20" t="str">
        <x:v>Комментарий</x:v>
      </x:c>
    </x:row>
    <x:row r="5" ht="64" customHeight="1">
      <x:c r="A5" s="52" t="str">
        <x:v>BUG-001</x:v>
      </x:c>
      <x:c r="B5" s="52" t="str">
        <x:v>AUTH_BAD_PASSWORD</x:v>
      </x:c>
      <x:c r="C5" s="52" t="str">
        <x:v>POST /auth {"username":"admin","password":"wrong"}</x:v>
      </x:c>
      <x:c r="D5" s="52" t="str">
        <x:v>401</x:v>
      </x:c>
      <x:c r="E5" s="81" t="n">
        <x:v>200</x:v>
      </x:c>
      <x:c r="F5" s="52" t="str">
        <x:v>{"reason":"Bad credentials"}</x:v>
      </x:c>
      <x:c r="G5" s="52" t="str">
        <x:v>2026-09-02 23:19</x:v>
      </x:c>
      <x:c r="H5" s="52" t="str">
        <x:v>Token не выдан, но транспортный статус успешный.</x:v>
      </x:c>
    </x:row>
    <x:row r="6" ht="64" customHeight="1">
      <x:c r="A6" s="52" t="str">
        <x:v>BUG-002</x:v>
      </x:c>
      <x:c r="B6" s="52" t="str">
        <x:v>CREATE_MISSING_FIRSTNAME</x:v>
      </x:c>
      <x:c r="C6" s="52" t="str">
        <x:v>POST /booking без firstname</x:v>
      </x:c>
      <x:c r="D6" s="52" t="str">
        <x:v>400</x:v>
      </x:c>
      <x:c r="E6" s="81" t="n">
        <x:v>500</x:v>
      </x:c>
      <x:c r="F6" s="52" t="str">
        <x:v>Internal Server Error</x:v>
      </x:c>
      <x:c r="G6" s="52" t="str">
        <x:v>2026-09-02 23:19</x:v>
      </x:c>
      <x:c r="H6" s="52" t="str">
        <x:v>Клиентская валидация отображается как серверная ошибка.</x:v>
      </x:c>
    </x:row>
    <x:row r="7" ht="64" customHeight="1">
      <x:c r="A7" s="52" t="str">
        <x:v>BUG-003</x:v>
      </x:c>
      <x:c r="B7" s="52" t="str">
        <x:v>CREATE_MISSING_ADDITIONALNEEDS</x:v>
      </x:c>
      <x:c r="C7" s="52" t="str">
        <x:v>POST /booking без additionalneeds</x:v>
      </x:c>
      <x:c r="D7" s="52" t="str">
        <x:v>400</x:v>
      </x:c>
      <x:c r="E7" s="81" t="n">
        <x:v>200</x:v>
      </x:c>
      <x:c r="F7" s="52" t="str">
        <x:v>bookingid + booking без поля</x:v>
      </x:c>
      <x:c r="G7" s="52" t="str">
        <x:v>2026-09-02 23:19</x:v>
      </x:c>
      <x:c r="H7" s="52" t="str">
        <x:v>Запись сохранена.</x:v>
      </x:c>
    </x:row>
    <x:row r="8" ht="64" customHeight="1">
      <x:c r="A8" s="52" t="str">
        <x:v>BUG-004</x:v>
      </x:c>
      <x:c r="B8" s="52" t="str">
        <x:v>CREATE_WRONG_TYPES</x:v>
      </x:c>
      <x:c r="C8" s="52" t="str">
        <x:v>POST /booking: totalprice="three hundred", depositpaid="yes"</x:v>
      </x:c>
      <x:c r="D8" s="52" t="str">
        <x:v>400</x:v>
      </x:c>
      <x:c r="E8" s="81" t="n">
        <x:v>200</x:v>
      </x:c>
      <x:c r="F8" s="52" t="str">
        <x:v>totalprice:null; depositpaid:true</x:v>
      </x:c>
      <x:c r="G8" s="52" t="str">
        <x:v>2026-09-02 23:19</x:v>
      </x:c>
      <x:c r="H8" s="52" t="str">
        <x:v>Типы молча преобразованы.</x:v>
      </x:c>
    </x:row>
    <x:row r="9" ht="64" customHeight="1">
      <x:c r="A9" s="52" t="str">
        <x:v>BUG-004</x:v>
      </x:c>
      <x:c r="B9" s="52" t="str">
        <x:v>CREATE_INVALID_DATE</x:v>
      </x:c>
      <x:c r="C9" s="52" t="str">
        <x:v>POST /booking: checkin="not-a-date"</x:v>
      </x:c>
      <x:c r="D9" s="52" t="str">
        <x:v>400</x:v>
      </x:c>
      <x:c r="E9" s="81" t="n">
        <x:v>200</x:v>
      </x:c>
      <x:c r="F9" s="52" t="str">
        <x:v>checkin:"0NaN-aN-aN"</x:v>
      </x:c>
      <x:c r="G9" s="52" t="str">
        <x:v>2026-09-02 23:19</x:v>
      </x:c>
      <x:c r="H9" s="52" t="str">
        <x:v>Повреждённая дата сохранена.</x:v>
      </x:c>
    </x:row>
    <x:row r="10" ht="64" customHeight="1">
      <x:c r="A10" s="52" t="str">
        <x:v>BUG-005</x:v>
      </x:c>
      <x:c r="B10" s="52" t="str">
        <x:v>POST_XML</x:v>
      </x:c>
      <x:c r="C10" s="52" t="str">
        <x:v>POST /booking XML: depositpaid=false</x:v>
      </x:c>
      <x:c r="D10" s="52" t="str">
        <x:v>false</x:v>
      </x:c>
      <x:c r="E10" s="81" t="n">
        <x:v>200</x:v>
      </x:c>
      <x:c r="F10" s="52" t="str">
        <x:v>depositpaid:true</x:v>
      </x:c>
      <x:c r="G10" s="52" t="str">
        <x:v>2026-09-02 23:22</x:v>
      </x:c>
      <x:c r="H10" s="52" t="str">
        <x:v>Значение изменило смысл.</x:v>
      </x:c>
    </x:row>
    <x:row r="11" ht="64" customHeight="1">
      <x:c r="A11" s="52" t="str">
        <x:v>BUG-006</x:v>
      </x:c>
      <x:c r="B11" s="52" t="str">
        <x:v>FILTER_CHECKIN_EQUAL</x:v>
      </x:c>
      <x:c r="C11" s="52" t="str">
        <x:v>GET /booking?checkin=2030-06-15</x:v>
      </x:c>
      <x:c r="D11" s="52" t="str">
        <x:v>200 + fixture ID</x:v>
      </x:c>
      <x:c r="E11" s="81" t="n">
        <x:v>200</x:v>
      </x:c>
      <x:c r="F11" s="52" t="str">
        <x:v>[]; fixture ID отсутствует</x:v>
      </x:c>
      <x:c r="G11" s="52" t="str">
        <x:v>2026-09-03 00:01</x:v>
      </x:c>
      <x:c r="H11" s="52" t="str">
        <x:v>Равная граница исключена вопреки документированному &gt;=; на первом прогоне с повреждёнными данными был HTTP 500.</x:v>
      </x:c>
    </x:row>
    <x:row r="12" ht="64" customHeight="1">
      <x:c r="A12" s="52" t="str">
        <x:v>BUG-006</x:v>
      </x:c>
      <x:c r="B12" s="52" t="str">
        <x:v>FILTER_CHECKOUT_DIRECTION</x:v>
      </x:c>
      <x:c r="C12" s="52" t="str">
        <x:v>GET /booking?checkout=2030-06-19</x:v>
      </x:c>
      <x:c r="D12" s="52" t="str">
        <x:v>200 + fixture ID</x:v>
      </x:c>
      <x:c r="E12" s="81" t="n">
        <x:v>200</x:v>
      </x:c>
      <x:c r="F12" s="52" t="str">
        <x:v>fixture ID отсутствует</x:v>
      </x:c>
      <x:c r="G12" s="52" t="str">
        <x:v>2026-09-03 00:01</x:v>
      </x:c>
      <x:c r="H12" s="52" t="str">
        <x:v>Бронь с checkout=2030-06-20 не включена, хотя 2030-06-20 &gt;= 2030-06-19.</x:v>
      </x:c>
    </x:row>
    <x:row r="13" ht="64" customHeight="1">
      <x:c r="A13" s="52" t="str">
        <x:v>BUG-006</x:v>
      </x:c>
      <x:c r="B13" s="52" t="str">
        <x:v>FILTER_INVALID_QUERY</x:v>
      </x:c>
      <x:c r="C13" s="52" t="str">
        <x:v>GET /booking?checkin=not-a-date</x:v>
      </x:c>
      <x:c r="D13" s="52" t="str">
        <x:v>400</x:v>
      </x:c>
      <x:c r="E13" s="81" t="n">
        <x:v>500</x:v>
      </x:c>
      <x:c r="F13" s="52" t="str">
        <x:v>Internal Server Error</x:v>
      </x:c>
      <x:c r="G13" s="52" t="str">
        <x:v>2026-09-03 00:01</x:v>
      </x:c>
      <x:c r="H13" s="52" t="str">
        <x:v>Ошибка клиента маскируется серверным сбоем.</x:v>
      </x:c>
    </x:row>
    <x:row r="14" ht="64" customHeight="1">
      <x:c r="A14" s="52" t="str">
        <x:v>BUG-007</x:v>
      </x:c>
      <x:c r="B14" s="52" t="str">
        <x:v>GET_BY_ID_UNSUPPORTED_ACCEPT</x:v>
      </x:c>
      <x:c r="C14" s="52" t="str">
        <x:v>GET /booking/{id}; Accept: application/pdf</x:v>
      </x:c>
      <x:c r="D14" s="52" t="str">
        <x:v>406</x:v>
      </x:c>
      <x:c r="E14" s="81" t="n">
        <x:v>418</x:v>
      </x:c>
      <x:c r="F14" s="52" t="str">
        <x:v>I'm a Teapot</x:v>
      </x:c>
      <x:c r="G14" s="52" t="str">
        <x:v>2026-09-02 23:19</x:v>
      </x:c>
      <x:c r="H14" s="52" t="str">
        <x:v>Нестандартный статус content negotiation.</x:v>
      </x:c>
    </x:row>
    <x:row r="15" ht="64" customHeight="1">
      <x:c r="A15" s="52" t="str">
        <x:v>BUG-008</x:v>
      </x:c>
      <x:c r="B15" s="52" t="str">
        <x:v>GET_BY_ID_PREFIX_JUNK</x:v>
      </x:c>
      <x:c r="C15" s="52" t="str">
        <x:v>GET /booking/{validId}abc</x:v>
      </x:c>
      <x:c r="D15" s="52" t="str">
        <x:v>400/404</x:v>
      </x:c>
      <x:c r="E15" s="81" t="n">
        <x:v>200</x:v>
      </x:c>
      <x:c r="F15" s="52" t="str">
        <x:v>Данные validId</x:v>
      </x:c>
      <x:c r="G15" s="52" t="str">
        <x:v>2026-09-02 23:19</x:v>
      </x:c>
      <x:c r="H15" s="52" t="str">
        <x:v>Path разобран частично.</x:v>
      </x:c>
    </x:row>
    <x:row r="16" ht="64" customHeight="1">
      <x:c r="A16" s="52" t="str">
        <x:v>BUG-009</x:v>
      </x:c>
      <x:c r="B16" s="52" t="str">
        <x:v>PUT/PATCH/DELETE_NOT_FOUND</x:v>
      </x:c>
      <x:c r="C16" s="52" t="str">
        <x:v>Методы по /booking/999999999</x:v>
      </x:c>
      <x:c r="D16" s="52" t="str">
        <x:v>404</x:v>
      </x:c>
      <x:c r="E16" s="81" t="n">
        <x:v>405</x:v>
      </x:c>
      <x:c r="F16" s="52" t="str">
        <x:v>Method Not Allowed</x:v>
      </x:c>
      <x:c r="G16" s="52" t="str">
        <x:v>2026-09-02 23:19</x:v>
      </x:c>
      <x:c r="H16" s="52" t="str">
        <x:v>Метод существует; отсутствует ресурс.</x:v>
      </x:c>
    </x:row>
  </x:sheetData>
  <x:mergeCells>
    <x:mergeCell ref="A1:H1"/>
    <x:mergeCell ref="A2:H2"/>
  </x:mergeCells>
  <x:pageMargins left="0.7" right="0.7" top="0.75" bottom="0.75" header="0.3" footer="0.3"/>
</x:worksheet>
</file>