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57c39767a04e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84fb74aa794a4eba"/>
    <x:sheet xmlns:r="http://schemas.openxmlformats.org/officeDocument/2006/relationships" name="Тест-кейсы" sheetId="2" r:id="Rb200234059d74046"/>
    <x:sheet xmlns:r="http://schemas.openxmlformats.org/officeDocument/2006/relationships" name="Матрица покрытия" sheetId="3" r:id="Re59900652d104ddb"/>
    <x:sheet xmlns:r="http://schemas.openxmlformats.org/officeDocument/2006/relationships" name="Источники" sheetId="4" r:id="Ra7280d04a45141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1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8"/>
      <x:color rgb="FFFFFFFF"/>
      <x:name val="Arial"/>
    </x:font>
    <x:font>
      <x:i/>
      <x:sz val="10"/>
      <x:color rgb="FF1F2937"/>
      <x:name val="Arial"/>
    </x:font>
    <x:font>
      <x:sz val="11"/>
      <x:name val="Arial"/>
    </x:font>
    <x:font>
      <x:b/>
      <x:sz val="11"/>
      <x:name val="Arial"/>
    </x:font>
    <x:font>
      <x:b/>
      <x:sz val="12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9"/>
      <x:name val="Arial"/>
    </x:font>
    <x:font>
      <x:sz val="1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EEF5FB"/>
      </x:patternFill>
    </x:fill>
    <x:fill>
      <x:patternFill patternType="solid">
        <x:fgColor rgb="FFFFFFFF"/>
      </x:patternFill>
    </x:fill>
    <x:fill>
      <x:patternFill patternType="solid">
        <x:fgColor rgb="FF2E75B6"/>
      </x:patternFill>
    </x:fill>
    <x:fill>
      <x:patternFill patternType="solid">
        <x:fgColor rgb="FFF8FAFC"/>
      </x:patternFill>
    </x:fill>
  </x:fills>
  <x:borders count="20">
    <x:border/>
    <x:border>
      <x:bottom style="thin">
        <x:color rgb="FFB8C2CC"/>
      </x:bottom>
    </x:border>
    <x:border>
      <x:top style="thin">
        <x:color rgb="FFB8C2CC"/>
      </x:top>
      <x:bottom style="thin">
        <x:color rgb="FFB8C2CC"/>
      </x:bottom>
    </x:border>
    <x:border>
      <x:top style="thin">
        <x:color rgb="FFB8C2CC"/>
      </x:top>
    </x:border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left style="thin">
        <x:color rgb="FFB8C2CC"/>
      </x:left>
      <x:top style="thin">
        <x:color rgb="FFB8C2CC"/>
      </x:top>
    </x:border>
    <x:border>
      <x:right style="thin">
        <x:color rgb="FFB8C2CC"/>
      </x:right>
      <x:top style="thin">
        <x:color rgb="FFB8C2CC"/>
      </x:top>
    </x:border>
    <x:border>
      <x:left style="thin">
        <x:color rgb="FFB8C2CC"/>
      </x:left>
    </x:border>
    <x:border>
      <x:right style="thin">
        <x:color rgb="FFB8C2CC"/>
      </x:right>
    </x:border>
    <x:border>
      <x:left style="thin">
        <x:color rgb="FFB8C2CC"/>
      </x:left>
      <x:bottom style="thin">
        <x:color rgb="FFB8C2CC"/>
      </x:bottom>
    </x:border>
    <x:border>
      <x:right style="thin">
        <x:color rgb="FFB8C2CC"/>
      </x:right>
      <x:bottom style="thin">
        <x:color rgb="FFB8C2CC"/>
      </x:bottom>
    </x:border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  <x:right style="thin">
        <x:color rgb="FFD9E1E8"/>
      </x:right>
      <x:top style="thin">
        <x:color rgb="FFD9E1E8"/>
      </x:top>
    </x:border>
    <x:border>
      <x:left style="thin">
        <x:color rgb="FFD9E1E8"/>
      </x:left>
      <x:top style="thin">
        <x:color rgb="FFD9E1E8"/>
      </x:top>
    </x:border>
  </x:borders>
  <x:cellStyleXfs count="1">
    <x:xf numFmtId="0" fontId="0" fillId="0" borderId="0"/>
  </x:cellStyleXfs>
  <x:cellXfs count="1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200" fontId="4" fillId="5" borderId="4" xfId="0" applyNumberFormat="1" applyFont="1" applyFill="1" applyBorder="1"/>
    <x:xf numFmtId="200" fontId="4" fillId="5" borderId="4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horizont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3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1" xfId="0" applyNumberFormat="1" applyFont="1" applyFill="1" applyBorder="1"/>
    <x:xf numFmtId="0" fontId="6" fillId="7" borderId="10" xfId="0" applyNumberFormat="1" applyFont="1" applyFill="1" applyBorder="1"/>
    <x:xf numFmtId="0" fontId="6" fillId="7" borderId="5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9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3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8" xfId="0" applyNumberFormat="1" applyFont="1" applyFill="1" applyBorder="1" applyAlignment="1">
      <x:alignment vertical="top" wrapText="1"/>
    </x:xf>
    <x:xf numFmtId="0" fontId="6" fillId="7" borderId="9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1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10" fillId="4" borderId="1" xfId="0" applyNumberFormat="1" applyFont="1" applyFill="1" applyBorder="1"/>
    <x:xf numFmtId="200" fontId="11" fillId="5" borderId="4" xfId="0" applyNumberFormat="1" applyFont="1" applyFill="1" applyBorder="1" applyAlignment="1">
      <x:alignment horizontal="center"/>
    </x:xf>
    <x:xf numFmtId="0" fontId="12" fillId="6" borderId="4" xfId="0" applyNumberFormat="1" applyFont="1" applyFill="1" applyBorder="1" applyAlignment="1">
      <x:alignment horizontal="center" vertical="center" wrapText="1"/>
    </x:xf>
    <x:xf numFmtId="0" fontId="10" fillId="4" borderId="2" xfId="0" applyNumberFormat="1" applyFont="1" applyFill="1" applyBorder="1"/>
    <x:xf numFmtId="0" fontId="13" fillId="7" borderId="5" xfId="0" applyNumberFormat="1" applyFont="1" applyFill="1" applyBorder="1" applyAlignment="1">
      <x:alignment vertical="top" wrapText="1"/>
    </x:xf>
    <x:xf numFmtId="0" fontId="13" fillId="7" borderId="3" xfId="0" applyNumberFormat="1" applyFont="1" applyFill="1" applyBorder="1" applyAlignment="1">
      <x:alignment vertical="top" wrapText="1"/>
    </x:xf>
    <x:xf numFmtId="0" fontId="13" fillId="7" borderId="6" xfId="0" applyNumberFormat="1" applyFont="1" applyFill="1" applyBorder="1" applyAlignment="1">
      <x:alignment vertical="top" wrapText="1"/>
    </x:xf>
    <x:xf numFmtId="0" fontId="13" fillId="7" borderId="7" xfId="0" applyNumberFormat="1" applyFont="1" applyFill="1" applyBorder="1" applyAlignment="1">
      <x:alignment vertical="top" wrapText="1"/>
    </x:xf>
    <x:xf numFmtId="0" fontId="13" fillId="7" borderId="0" xfId="0" applyNumberFormat="1" applyFont="1" applyFill="1" applyBorder="1" applyAlignment="1">
      <x:alignment vertical="top" wrapText="1"/>
    </x:xf>
    <x:xf numFmtId="0" fontId="13" fillId="7" borderId="8" xfId="0" applyNumberFormat="1" applyFont="1" applyFill="1" applyBorder="1" applyAlignment="1">
      <x:alignment vertical="top" wrapText="1"/>
    </x:xf>
    <x:xf numFmtId="0" fontId="10" fillId="4" borderId="3" xfId="0" applyNumberFormat="1" applyFont="1" applyFill="1" applyBorder="1"/>
    <x:xf numFmtId="0" fontId="13" fillId="7" borderId="9" xfId="0" applyNumberFormat="1" applyFont="1" applyFill="1" applyBorder="1" applyAlignment="1">
      <x:alignment vertical="top" wrapText="1"/>
    </x:xf>
    <x:xf numFmtId="0" fontId="13" fillId="7" borderId="1" xfId="0" applyNumberFormat="1" applyFont="1" applyFill="1" applyBorder="1" applyAlignment="1">
      <x:alignment vertical="top" wrapText="1"/>
    </x:xf>
    <x:xf numFmtId="0" fontId="13" fillId="7" borderId="10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0" fontId="14" fillId="0" borderId="11" xfId="0" applyNumberFormat="1" applyFont="1" applyFill="1" applyBorder="1"/>
    <x:xf numFmtId="0" fontId="14" fillId="0" borderId="12" xfId="0" applyNumberFormat="1" applyFont="1" applyFill="1" applyBorder="1"/>
    <x:xf numFmtId="0" fontId="14" fillId="0" borderId="13" xfId="0" applyNumberFormat="1" applyFont="1" applyFill="1" applyBorder="1"/>
    <x:xf numFmtId="0" fontId="14" fillId="0" borderId="14" xfId="0" applyNumberFormat="1" applyFont="1" applyFill="1" applyBorder="1"/>
    <x:xf numFmtId="0" fontId="14" fillId="0" borderId="15" xfId="0" applyNumberFormat="1" applyFont="1" applyFill="1" applyBorder="1"/>
    <x:xf numFmtId="0" fontId="14" fillId="0" borderId="16" xfId="0" applyNumberFormat="1" applyFont="1" applyFill="1" applyBorder="1"/>
    <x:xf numFmtId="0" fontId="14" fillId="0" borderId="17" xfId="0" applyNumberFormat="1" applyFont="1" applyFill="1" applyBorder="1"/>
    <x:xf numFmtId="0" fontId="14" fillId="0" borderId="18" xfId="0" applyNumberFormat="1" applyFont="1" applyFill="1" applyBorder="1"/>
    <x:xf numFmtId="0" fontId="14" fillId="0" borderId="19" xfId="0" applyNumberFormat="1" applyFont="1" applyFill="1" applyBorder="1"/>
    <x:xf numFmtId="0" fontId="14" fillId="0" borderId="11" xfId="0" applyNumberFormat="1" applyFont="1" applyFill="1" applyBorder="1" applyAlignment="1">
      <x:alignment wrapText="1"/>
    </x:xf>
    <x:xf numFmtId="0" fontId="14" fillId="0" borderId="12" xfId="0" applyNumberFormat="1" applyFont="1" applyFill="1" applyBorder="1" applyAlignment="1">
      <x:alignment wrapText="1"/>
    </x:xf>
    <x:xf numFmtId="0" fontId="14" fillId="0" borderId="13" xfId="0" applyNumberFormat="1" applyFont="1" applyFill="1" applyBorder="1" applyAlignment="1">
      <x:alignment wrapText="1"/>
    </x:xf>
    <x:xf numFmtId="0" fontId="14" fillId="0" borderId="14" xfId="0" applyNumberFormat="1" applyFont="1" applyFill="1" applyBorder="1" applyAlignment="1">
      <x:alignment wrapText="1"/>
    </x:xf>
    <x:xf numFmtId="0" fontId="14" fillId="0" borderId="15" xfId="0" applyNumberFormat="1" applyFont="1" applyFill="1" applyBorder="1" applyAlignment="1">
      <x:alignment wrapText="1"/>
    </x:xf>
    <x:xf numFmtId="0" fontId="14" fillId="0" borderId="16" xfId="0" applyNumberFormat="1" applyFont="1" applyFill="1" applyBorder="1" applyAlignment="1">
      <x:alignment wrapText="1"/>
    </x:xf>
    <x:xf numFmtId="0" fontId="14" fillId="0" borderId="17" xfId="0" applyNumberFormat="1" applyFont="1" applyFill="1" applyBorder="1" applyAlignment="1">
      <x:alignment wrapText="1"/>
    </x:xf>
    <x:xf numFmtId="0" fontId="14" fillId="0" borderId="18" xfId="0" applyNumberFormat="1" applyFont="1" applyFill="1" applyBorder="1" applyAlignment="1">
      <x:alignment wrapText="1"/>
    </x:xf>
    <x:xf numFmtId="0" fontId="14" fillId="0" borderId="19" xfId="0" applyNumberFormat="1" applyFont="1" applyFill="1" applyBorder="1" applyAlignment="1">
      <x:alignment wrapText="1"/>
    </x:xf>
    <x:xf numFmtId="0" fontId="14" fillId="0" borderId="11" xfId="0" applyNumberFormat="1" applyFont="1" applyFill="1" applyBorder="1" applyAlignment="1">
      <x:alignment vertical="top" wrapText="1"/>
    </x:xf>
    <x:xf numFmtId="0" fontId="14" fillId="0" borderId="12" xfId="0" applyNumberFormat="1" applyFont="1" applyFill="1" applyBorder="1" applyAlignment="1">
      <x:alignment vertical="top" wrapText="1"/>
    </x:xf>
    <x:xf numFmtId="0" fontId="14" fillId="0" borderId="13" xfId="0" applyNumberFormat="1" applyFont="1" applyFill="1" applyBorder="1" applyAlignment="1">
      <x:alignment vertical="top" wrapText="1"/>
    </x:xf>
    <x:xf numFmtId="0" fontId="14" fillId="0" borderId="14" xfId="0" applyNumberFormat="1" applyFont="1" applyFill="1" applyBorder="1" applyAlignment="1">
      <x:alignment vertical="top" wrapText="1"/>
    </x:xf>
    <x:xf numFmtId="0" fontId="14" fillId="0" borderId="15" xfId="0" applyNumberFormat="1" applyFont="1" applyFill="1" applyBorder="1" applyAlignment="1">
      <x:alignment vertical="top" wrapText="1"/>
    </x:xf>
    <x:xf numFmtId="0" fontId="14" fillId="0" borderId="16" xfId="0" applyNumberFormat="1" applyFont="1" applyFill="1" applyBorder="1" applyAlignment="1">
      <x:alignment vertical="top" wrapText="1"/>
    </x:xf>
    <x:xf numFmtId="0" fontId="14" fillId="0" borderId="17" xfId="0" applyNumberFormat="1" applyFont="1" applyFill="1" applyBorder="1" applyAlignment="1">
      <x:alignment vertical="top" wrapText="1"/>
    </x:xf>
    <x:xf numFmtId="0" fontId="14" fillId="0" borderId="18" xfId="0" applyNumberFormat="1" applyFont="1" applyFill="1" applyBorder="1" applyAlignment="1">
      <x:alignment vertical="top" wrapText="1"/>
    </x:xf>
    <x:xf numFmtId="0" fontId="14" fillId="0" borderId="19" xfId="0" applyNumberFormat="1" applyFont="1" applyFill="1" applyBorder="1" applyAlignment="1">
      <x:alignment vertical="top" wrapText="1"/>
    </x:xf>
    <x:xf numFmtId="0" fontId="14" fillId="6" borderId="11" xfId="0" applyNumberFormat="1" applyFont="1" applyFill="1" applyBorder="1" applyAlignment="1">
      <x:alignment vertical="top" wrapText="1"/>
    </x:xf>
    <x:xf numFmtId="0" fontId="14" fillId="6" borderId="12" xfId="0" applyNumberFormat="1" applyFont="1" applyFill="1" applyBorder="1" applyAlignment="1">
      <x:alignment vertical="top" wrapText="1"/>
    </x:xf>
    <x:xf numFmtId="0" fontId="14" fillId="6" borderId="13" xfId="0" applyNumberFormat="1" applyFont="1" applyFill="1" applyBorder="1" applyAlignment="1">
      <x:alignment vertical="top" wrapText="1"/>
    </x:xf>
    <x:xf numFmtId="0" fontId="12" fillId="6" borderId="11" xfId="0" applyNumberFormat="1" applyFont="1" applyFill="1" applyBorder="1" applyAlignment="1">
      <x:alignment vertical="top" wrapText="1"/>
    </x:xf>
    <x:xf numFmtId="0" fontId="12" fillId="6" borderId="12" xfId="0" applyNumberFormat="1" applyFont="1" applyFill="1" applyBorder="1" applyAlignment="1">
      <x:alignment vertical="top" wrapText="1"/>
    </x:xf>
    <x:xf numFmtId="0" fontId="12" fillId="6" borderId="13" xfId="0" applyNumberFormat="1" applyFont="1" applyFill="1" applyBorder="1" applyAlignment="1">
      <x:alignment vertical="top" wrapText="1"/>
    </x:xf>
    <x:xf numFmtId="0" fontId="12" fillId="6" borderId="4" xfId="0" applyNumberFormat="1" applyFont="1" applyFill="1" applyBorder="1" applyAlignment="1">
      <x:alignment vertical="top" wrapText="1"/>
    </x:xf>
    <x:xf numFmtId="0" fontId="12" fillId="6" borderId="4" xfId="0" applyNumberFormat="1" applyFont="1" applyFill="1" applyBorder="1" applyAlignment="1">
      <x:alignment horizontal="center" vertical="top" wrapText="1"/>
    </x:xf>
    <x:xf numFmtId="200" fontId="14" fillId="0" borderId="15" xfId="0" applyNumberFormat="1" applyFont="1" applyFill="1" applyBorder="1" applyAlignment="1">
      <x:alignment vertical="top" wrapText="1"/>
    </x:xf>
    <x:xf numFmtId="200" fontId="14" fillId="0" borderId="18" xfId="0" applyNumberFormat="1" applyFont="1" applyFill="1" applyBorder="1" applyAlignment="1">
      <x:alignment vertical="top" wrapText="1"/>
    </x:xf>
    <x:xf numFmtId="200" fontId="14" fillId="0" borderId="15" xfId="0" applyNumberFormat="1" applyFont="1" applyFill="1" applyBorder="1" applyAlignment="1">
      <x:alignment horizontal="center" vertical="top" wrapText="1"/>
    </x:xf>
    <x:xf numFmtId="200" fontId="14" fillId="0" borderId="18" xfId="0" applyNumberFormat="1" applyFont="1" applyFill="1" applyBorder="1" applyAlignment="1">
      <x:alignment horizontal="center" vertical="top" wrapText="1"/>
    </x:xf>
    <x:xf numFmtId="0" fontId="14" fillId="0" borderId="14" xfId="0" applyNumberFormat="1" applyFont="1" applyFill="1" applyBorder="1" applyAlignment="1">
      <x:alignment vertical="center" wrapText="1"/>
    </x:xf>
    <x:xf numFmtId="0" fontId="14" fillId="0" borderId="15" xfId="0" applyNumberFormat="1" applyFont="1" applyFill="1" applyBorder="1" applyAlignment="1">
      <x:alignment vertical="center" wrapText="1"/>
    </x:xf>
    <x:xf numFmtId="0" fontId="14" fillId="0" borderId="17" xfId="0" applyNumberFormat="1" applyFont="1" applyFill="1" applyBorder="1" applyAlignment="1">
      <x:alignment vertical="center" wrapText="1"/>
    </x:xf>
    <x:xf numFmtId="0" fontId="14" fillId="0" borderId="18" xfId="0" applyNumberFormat="1" applyFont="1" applyFill="1" applyBorder="1" applyAlignment="1">
      <x:alignment vertical="center" wrapText="1"/>
    </x:xf>
    <x:xf numFmtId="0" fontId="14" fillId="0" borderId="16" xfId="0" applyNumberFormat="1" applyFont="1" applyFill="1" applyBorder="1" applyAlignment="1">
      <x:alignment vertical="center" wrapText="1"/>
    </x:xf>
    <x:xf numFmtId="0" fontId="14" fillId="0" borderId="19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/>
    <x:xf numFmtId="0" fontId="15" fillId="0" borderId="4" xfId="0" applyNumberFormat="1" applyFont="1" applyFill="1" applyBorder="1"/>
    <x:xf numFmtId="0" fontId="15" fillId="0" borderId="4" xfId="0" applyNumberFormat="1" applyFont="1" applyFill="1" applyBorder="1" applyAlignment="1">
      <x:alignment vertical="center"/>
    </x:xf>
    <x:xf numFmtId="200" fontId="15" fillId="0" borderId="4" xfId="0" applyNumberFormat="1" applyFont="1" applyFill="1" applyBorder="1" applyAlignment="1">
      <x:alignment vertical="center"/>
    </x:xf>
    <x:xf numFmtId="200" fontId="15" fillId="0" borderId="4" xfId="0" applyNumberFormat="1" applyFont="1" applyFill="1" applyBorder="1" applyAlignment="1">
      <x:alignment horizontal="center" vertical="center"/>
    </x:xf>
    <x:xf numFmtId="0" fontId="15" fillId="0" borderId="4" xfId="0" applyNumberFormat="1" applyFont="1" applyFill="1" applyBorder="1" applyAlignment="1">
      <x:alignment wrapText="1"/>
    </x:xf>
    <x:xf numFmtId="0" fontId="15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0bd55a38a0467e" /><Relationship Type="http://schemas.openxmlformats.org/officeDocument/2006/relationships/theme" Target="/xl/theme/theme1.xml" Id="R78cc05eb69564758" /><Relationship Type="http://schemas.openxmlformats.org/officeDocument/2006/relationships/sharedStrings" Target="/xl/sharedStrings.xml" Id="R1d58540314284a58" /><Relationship Type="http://schemas.openxmlformats.org/officeDocument/2006/relationships/worksheet" Target="/xl/worksheets/sheet1.xml" Id="R84fb74aa794a4eba" /><Relationship Type="http://schemas.openxmlformats.org/officeDocument/2006/relationships/worksheet" Target="/xl/worksheets/sheet2.xml" Id="Rb200234059d74046" /><Relationship Type="http://schemas.openxmlformats.org/officeDocument/2006/relationships/worksheet" Target="/xl/worksheets/sheet3.xml" Id="Re59900652d104ddb" /><Relationship Type="http://schemas.openxmlformats.org/officeDocument/2006/relationships/worksheet" Target="/xl/worksheets/sheet4.xml" Id="Ra7280d04a4514192" /></Relationships>
</file>

<file path=xl/tables/table1.xml><?xml version="1.0" encoding="utf-8"?>
<x:table xmlns:x="http://schemas.openxmlformats.org/spreadsheetml/2006/main" id="1" name="TestCasesTable" displayName="TestCasesTable" ref="A4:P61" headerRowCount="1" totalsRowCount="0" totalsRowShown="0">
  <x:tableColumns count="16">
    <x:tableColumn id="1" name="ID"/>
    <x:tableColumn id="2" name="Endpoint"/>
    <x:tableColumn id="3" name="Method"/>
    <x:tableColumn id="4" name="Тип"/>
    <x:tableColumn id="5" name="Приоритет"/>
    <x:tableColumn id="6" name="Название"/>
    <x:tableColumn id="7" name="Предусловия"/>
    <x:tableColumn id="8" name="Тестовые данные"/>
    <x:tableColumn id="9" name="Шаги"/>
    <x:tableColumn id="10" name="Ожидаемый код"/>
    <x:tableColumn id="11" name="Ожидаемый результат"/>
    <x:tableColumn id="12" name="Postman request"/>
    <x:tableColumn id="13" name="Авто"/>
    <x:tableColumn id="14" name="Статус прогона"/>
    <x:tableColumn id="15" name="Фактический результат"/>
    <x:tableColumn id="16" name="Bug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verageMatrix" displayName="CoverageMatrix" ref="A4:H13" headerRowCount="1" totalsRowCount="0" totalsRowShown="0">
  <x:tableColumns count="8">
    <x:tableColumn id="1" name="Method"/>
    <x:tableColumn id="2" name="Endpoint"/>
    <x:tableColumn id="3" name="Всего"/>
    <x:tableColumn id="4" name="Позитивные"/>
    <x:tableColumn id="5" name="Негативные"/>
    <x:tableColumn id="6" name="Пройдено"/>
    <x:tableColumn id="7" name="Провалено"/>
    <x:tableColumn id="8" name="Не выполнялос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c7a27fcbc04c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4b3577b2f046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32" hidden="0" customWidth="1"/>
    <x:col min="5" max="5" width="18" hidden="0" customWidth="1"/>
    <x:col min="6" max="6" width="28" hidden="0" customWidth="1"/>
    <x:col min="7" max="7" width="18" hidden="0" customWidth="1"/>
    <x:col min="8" max="8" width="32" hidden="0" customWidth="1"/>
  </x:cols>
  <x:sheetData>
    <x:row r="1" ht="32" customHeight="1">
      <x:c r="A1" s="55" t="str">
        <x:v>Restful Booker — тест-кейсы</x:v>
      </x:c>
      <x:c r="B1" s="55" t="str">
        <x:v>Restful Booker — тест-кейсы</x:v>
      </x:c>
      <x:c r="C1" s="55" t="str">
        <x:v>Restful Booker — тест-кейсы</x:v>
      </x:c>
      <x:c r="D1" s="55" t="str">
        <x:v>Restful Booker — тест-кейсы</x:v>
      </x:c>
      <x:c r="E1" s="55" t="str">
        <x:v>Restful Booker — тест-кейсы</x:v>
      </x:c>
      <x:c r="F1" s="55" t="str">
        <x:v>Restful Booker — тест-кейсы</x:v>
      </x:c>
      <x:c r="G1" s="55" t="str">
        <x:v>Restful Booker — тест-кейсы</x:v>
      </x:c>
      <x:c r="H1" s="55" t="str">
        <x:v>Restful Booker — тест-кейсы</x:v>
      </x:c>
    </x:row>
    <x:row r="2" ht="32" customHeight="1">
      <x:c r="A2" s="56" t="str">
        <x:v>Контрактные позитивные и негативные проверки. Фактический прогон: 2026-09-03 00:01 UTC.</x:v>
      </x:c>
      <x:c r="B2" s="56" t="str">
        <x:v>Контрактные позитивные и негативные проверки. Фактический прогон: 2026-09-03 00:01 UTC.</x:v>
      </x:c>
      <x:c r="C2" s="56" t="str">
        <x:v>Контрактные позитивные и негативные проверки. Фактический прогон: 2026-09-03 00:01 UTC.</x:v>
      </x:c>
      <x:c r="D2" s="56" t="str">
        <x:v>Контрактные позитивные и негативные проверки. Фактический прогон: 2026-09-03 00:01 UTC.</x:v>
      </x:c>
      <x:c r="E2" s="56" t="str">
        <x:v>Контрактные позитивные и негативные проверки. Фактический прогон: 2026-09-03 00:01 UTC.</x:v>
      </x:c>
      <x:c r="F2" s="56" t="str">
        <x:v>Контрактные позитивные и негативные проверки. Фактический прогон: 2026-09-03 00:01 UTC.</x:v>
      </x:c>
      <x:c r="G2" s="56" t="str">
        <x:v>Контрактные позитивные и негативные проверки. Фактический прогон: 2026-09-03 00:01 UTC.</x:v>
      </x:c>
      <x:c r="H2" s="56" t="str">
        <x:v>Контрактные позитивные и негативные проверки. Фактический прогон: 2026-09-03 00:01 UTC.</x:v>
      </x:c>
    </x:row>
    <x:row r="3">
      <x:c r="A3" s="57"/>
      <x:c r="B3" s="57"/>
      <x:c r="C3" s="57"/>
      <x:c r="D3" s="57"/>
      <x:c r="E3" s="57"/>
      <x:c r="F3" s="57"/>
      <x:c r="G3" s="57"/>
      <x:c r="H3" s="57"/>
    </x:row>
    <x:row r="4" ht="32" customHeight="1">
      <x:c r="A4" s="58" t="str">
        <x:v>Всего тест-кейсов</x:v>
      </x:c>
      <x:c r="B4" s="59" t="n">
        <x:f>COUNTA('Тест-кейсы'!$A$5:$A$200)</x:f>
        <x:v>57</x:v>
      </x:c>
      <x:c r="C4" s="57"/>
      <x:c r="D4" s="60" t="str">
        <x:v>Правила прогона</x:v>
      </x:c>
      <x:c r="E4" s="60" t="str">
        <x:v>Правила прогона</x:v>
      </x:c>
      <x:c r="F4" s="60" t="str">
        <x:v>Правила прогона</x:v>
      </x:c>
      <x:c r="G4" s="60" t="str">
        <x:v>Правила прогона</x:v>
      </x:c>
      <x:c r="H4" s="60" t="str">
        <x:v>Правила прогона</x:v>
      </x:c>
    </x:row>
    <x:row r="5">
      <x:c r="A5" s="61" t="str">
        <x:v>Позитивных</x:v>
      </x:c>
      <x:c r="B5" s="59" t="n">
        <x:f>COUNTIF('Тест-кейсы'!$D$5:$D$200,"Позитивный")</x:f>
        <x:v>23</x:v>
      </x:c>
      <x:c r="C5" s="57"/>
      <x:c r="D5" s="62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  <x:c r="E5" s="63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  <x:c r="F5" s="63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  <x:c r="G5" s="63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  <x:c r="H5" s="64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</x:row>
    <x:row r="6">
      <x:c r="A6" s="61" t="str">
        <x:v>Негативных</x:v>
      </x:c>
      <x:c r="B6" s="59" t="n">
        <x:f>COUNTIF('Тест-кейсы'!$D$5:$D$200,"Негативный")</x:f>
        <x:v>34</x:v>
      </x:c>
      <x:c r="C6" s="57"/>
      <x:c r="D6" s="65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  <x:c r="E6" s="66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  <x:c r="F6" s="66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  <x:c r="G6" s="66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  <x:c r="H6" s="67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</x:row>
    <x:row r="7">
      <x:c r="A7" s="61" t="str">
        <x:v>Автоматизировано</x:v>
      </x:c>
      <x:c r="B7" s="59" t="n">
        <x:f>COUNTIF('Тест-кейсы'!$M$5:$M$200,"Да")</x:f>
        <x:v>57</x:v>
      </x:c>
      <x:c r="C7" s="57"/>
      <x:c r="D7" s="65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  <x:c r="E7" s="66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  <x:c r="F7" s="66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  <x:c r="G7" s="66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  <x:c r="H7" s="67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</x:row>
    <x:row r="8">
      <x:c r="A8" s="61" t="str">
        <x:v>Пройдено</x:v>
      </x:c>
      <x:c r="B8" s="59" t="n">
        <x:f>COUNTIF('Тест-кейсы'!$N$5:$N$200,"Пройден")</x:f>
        <x:v>33</x:v>
      </x:c>
      <x:c r="C8" s="57"/>
      <x:c r="D8" s="65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  <x:c r="E8" s="66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  <x:c r="F8" s="66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  <x:c r="G8" s="66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  <x:c r="H8" s="67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</x:row>
    <x:row r="9">
      <x:c r="A9" s="61" t="str">
        <x:v>Провалено</x:v>
      </x:c>
      <x:c r="B9" s="59" t="n">
        <x:f>COUNTIF('Тест-кейсы'!$N$5:$N$200,"Провален")</x:f>
        <x:v>24</x:v>
      </x:c>
      <x:c r="C9" s="57"/>
      <x:c r="D9" s="65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  <x:c r="E9" s="66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  <x:c r="F9" s="66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  <x:c r="G9" s="66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  <x:c r="H9" s="67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</x:row>
    <x:row r="10">
      <x:c r="A10" s="68" t="str">
        <x:v>Не выполнялось</x:v>
      </x:c>
      <x:c r="B10" s="59" t="n">
        <x:f>COUNTIF('Тест-кейсы'!$N$5:$N$200,"Не выполнялся")</x:f>
        <x:v>0</x:v>
      </x:c>
      <x:c r="C10" s="57"/>
      <x:c r="D10" s="69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  <x:c r="E10" s="70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  <x:c r="F10" s="70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  <x:c r="G10" s="70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  <x:c r="H10" s="71" t="str">
        <x:v>Запускайте коллекцию последовательно: служебные SETUP-запросы создают уникальные фикстуры, а папка 99 - Cleanup удаляет записи текущего запуска. Проверки, связанные с багами, намеренно сравнивают ответ с ожидаемым контрактом и будут падать, пока дефекты воспроизводятся. Сервис публичный и общий, поэтому состояние может меняться между запросами.</x:v>
      </x:c>
    </x:row>
    <x:row r="11">
      <x:c r="A11" s="57"/>
      <x:c r="B11" s="57"/>
      <x:c r="C11" s="57"/>
      <x:c r="D11" s="57"/>
      <x:c r="E11" s="57"/>
      <x:c r="F11" s="57"/>
      <x:c r="G11" s="57"/>
      <x:c r="H11" s="57"/>
    </x:row>
    <x:row r="12" ht="32" customHeight="1">
      <x:c r="A12" s="60" t="str">
        <x:v>Обозначения</x:v>
      </x:c>
      <x:c r="B12" s="60" t="str">
        <x:v>Обозначения</x:v>
      </x:c>
      <x:c r="C12" s="60" t="str">
        <x:v>Обозначения</x:v>
      </x:c>
      <x:c r="D12" s="60" t="str">
        <x:v>Обозначения</x:v>
      </x:c>
      <x:c r="E12" s="60" t="str">
        <x:v>Обозначения</x:v>
      </x:c>
      <x:c r="F12" s="60" t="str">
        <x:v>Обозначения</x:v>
      </x:c>
      <x:c r="G12" s="60" t="str">
        <x:v>Обозначения</x:v>
      </x:c>
      <x:c r="H12" s="60" t="str">
        <x:v>Обозначения</x:v>
      </x:c>
    </x:row>
    <x:row r="13" ht="34" customHeight="1">
      <x:c r="A13" s="72" t="str">
        <x:v>P0</x:v>
      </x:c>
      <x:c r="B13" s="72" t="str">
        <x:v>Критический пользовательский поток</x:v>
      </x:c>
      <x:c r="C13" s="72" t="str">
        <x:v>Пройден</x:v>
      </x:c>
      <x:c r="D13" s="72" t="str">
        <x:v>Ожидаемый результат подтверждён</x:v>
      </x:c>
      <x:c r="E13" s="72" t="str">
        <x:v>Позитивный</x:v>
      </x:c>
      <x:c r="F13" s="72" t="str">
        <x:v>Валидный сценарий</x:v>
      </x:c>
      <x:c r="G13" s="72" t="str">
        <x:v>Авто</x:v>
      </x:c>
      <x:c r="H13" s="72" t="str">
        <x:v>Проверка есть в Postman</x:v>
      </x:c>
    </x:row>
    <x:row r="14" ht="34" customHeight="1">
      <x:c r="A14" s="72" t="str">
        <x:v>P1</x:v>
      </x:c>
      <x:c r="B14" s="72" t="str">
        <x:v>Высокий риск</x:v>
      </x:c>
      <x:c r="C14" s="72" t="str">
        <x:v>Провален</x:v>
      </x:c>
      <x:c r="D14" s="72" t="str">
        <x:v>Зафиксировано отклонение</x:v>
      </x:c>
      <x:c r="E14" s="72" t="str">
        <x:v>Негативный</x:v>
      </x:c>
      <x:c r="F14" s="72" t="str">
        <x:v>Ошибочные/граничные данные</x:v>
      </x:c>
      <x:c r="G14" s="72" t="str">
        <x:v>Bug ID</x:v>
      </x:c>
      <x:c r="H14" s="72" t="str">
        <x:v>Связь с баг-репортом</x:v>
      </x:c>
    </x:row>
    <x:row r="15" ht="34" customHeight="1">
      <x:c r="A15" s="72" t="str">
        <x:v>P2</x:v>
      </x:c>
      <x:c r="B15" s="72" t="str">
        <x:v>Средний риск</x:v>
      </x:c>
      <x:c r="C15" s="72" t="str">
        <x:v>Не выполнялся</x:v>
      </x:c>
      <x:c r="D15" s="72" t="str">
        <x:v>Нет фактического прогона</x:v>
      </x:c>
      <x:c r="E15" s="72" t="str">
        <x:v>SETUP</x:v>
      </x:c>
      <x:c r="F15" s="72" t="str">
        <x:v>Служебный запрос</x:v>
      </x:c>
      <x:c r="G15" s="72" t="str">
        <x:v>Источник</x:v>
      </x:c>
      <x:c r="H15" s="72" t="str">
        <x:v>Официальная API-документация</x:v>
      </x:c>
    </x:row>
    <x:row r="16" ht="34" customHeight="1">
      <x:c r="A16" s="72" t="str">
        <x:v>P3</x:v>
      </x:c>
      <x:c r="B16" s="72" t="str">
        <x:v>Низкий риск</x:v>
      </x:c>
      <x:c r="C16" s="72" t="str">
        <x:v>Заблокирован</x:v>
      </x:c>
      <x:c r="D16" s="72" t="str">
        <x:v>Проверка невозможна из-за дефекта</x:v>
      </x:c>
      <x:c r="E16" s="72" t="str">
        <x:v>Cleanup</x:v>
      </x:c>
      <x:c r="F16" s="72" t="str">
        <x:v>Удаление тестовых данных</x:v>
      </x:c>
      <x:c r="G16" s="72" t="str">
        <x:v>Дата</x:v>
      </x:c>
      <x:c r="H16" s="72" t="str">
        <x:v>2026-09-03 00:01 UTC</x:v>
      </x:c>
    </x:row>
  </x:sheetData>
  <x:mergeCells>
    <x:mergeCell ref="A1:H1"/>
    <x:mergeCell ref="A2:H2"/>
    <x:mergeCell ref="D4:H4"/>
    <x:mergeCell ref="D5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0" hidden="0" customWidth="1"/>
    <x:col min="4" max="4" width="14" hidden="0" customWidth="1"/>
    <x:col min="5" max="5" width="11" hidden="0" customWidth="1"/>
    <x:col min="6" max="6" width="38" hidden="0" customWidth="1"/>
    <x:col min="7" max="7" width="38" hidden="0" customWidth="1"/>
    <x:col min="8" max="8" width="42" hidden="0" customWidth="1"/>
    <x:col min="9" max="9" width="48" hidden="0" customWidth="1"/>
    <x:col min="10" max="10" width="13" hidden="0" customWidth="1"/>
    <x:col min="11" max="11" width="48" hidden="0" customWidth="1"/>
    <x:col min="12" max="12" width="48" hidden="0" customWidth="1"/>
    <x:col min="13" max="13" width="9" hidden="0" customWidth="1"/>
    <x:col min="14" max="14" width="17" hidden="0" customWidth="1"/>
    <x:col min="15" max="15" width="46" hidden="0" customWidth="1"/>
    <x:col min="16" max="16" width="16" hidden="0" customWidth="1"/>
  </x:cols>
  <x:sheetData>
    <x:row r="1" ht="32" customHeight="1">
      <x:c r="A1" s="3" t="str">
        <x:v>Тест-кейсы</x:v>
      </x:c>
      <x:c r="B1" s="3" t="str">
        <x:v>Тест-кейсы</x:v>
      </x:c>
      <x:c r="C1" s="3" t="str">
        <x:v>Тест-кейсы</x:v>
      </x:c>
      <x:c r="D1" s="3" t="str">
        <x:v>Тест-кейсы</x:v>
      </x:c>
      <x:c r="E1" s="3" t="str">
        <x:v>Тест-кейсы</x:v>
      </x:c>
      <x:c r="F1" s="3" t="str">
        <x:v>Тест-кейсы</x:v>
      </x:c>
      <x:c r="G1" s="3" t="str">
        <x:v>Тест-кейсы</x:v>
      </x:c>
      <x:c r="H1" s="3" t="str">
        <x:v>Тест-кейсы</x:v>
      </x:c>
      <x:c r="I1" s="3" t="str">
        <x:v>Тест-кейсы</x:v>
      </x:c>
      <x:c r="J1" s="3" t="str">
        <x:v>Тест-кейсы</x:v>
      </x:c>
      <x:c r="K1" s="3" t="str">
        <x:v>Тест-кейсы</x:v>
      </x:c>
      <x:c r="L1" s="3" t="str">
        <x:v>Тест-кейсы</x:v>
      </x:c>
      <x:c r="M1" s="3" t="str">
        <x:v>Тест-кейсы</x:v>
      </x:c>
      <x:c r="N1" s="3" t="str">
        <x:v>Тест-кейсы</x:v>
      </x:c>
      <x:c r="O1" s="3" t="str">
        <x:v>Тест-кейсы</x:v>
      </x:c>
      <x:c r="P1" s="3" t="str">
        <x:v>Тест-кейсы</x:v>
      </x:c>
    </x:row>
    <x:row r="2" ht="32" customHeight="1">
      <x:c r="A2" s="7" t="str">
        <x:v>57 кейсов; ID совпадает с именем запроса в Postman.</x:v>
      </x:c>
      <x:c r="B2" s="7" t="str">
        <x:v>57 кейсов; ID совпадает с именем запроса в Postman.</x:v>
      </x:c>
      <x:c r="C2" s="7" t="str">
        <x:v>57 кейсов; ID совпадает с именем запроса в Postman.</x:v>
      </x:c>
      <x:c r="D2" s="7" t="str">
        <x:v>57 кейсов; ID совпадает с именем запроса в Postman.</x:v>
      </x:c>
      <x:c r="E2" s="7" t="str">
        <x:v>57 кейсов; ID совпадает с именем запроса в Postman.</x:v>
      </x:c>
      <x:c r="F2" s="7" t="str">
        <x:v>57 кейсов; ID совпадает с именем запроса в Postman.</x:v>
      </x:c>
      <x:c r="G2" s="7" t="str">
        <x:v>57 кейсов; ID совпадает с именем запроса в Postman.</x:v>
      </x:c>
      <x:c r="H2" s="7" t="str">
        <x:v>57 кейсов; ID совпадает с именем запроса в Postman.</x:v>
      </x:c>
      <x:c r="I2" s="7" t="str">
        <x:v>57 кейсов; ID совпадает с именем запроса в Postman.</x:v>
      </x:c>
      <x:c r="J2" s="7" t="str">
        <x:v>57 кейсов; ID совпадает с именем запроса в Postman.</x:v>
      </x:c>
      <x:c r="K2" s="7" t="str">
        <x:v>57 кейсов; ID совпадает с именем запроса в Postman.</x:v>
      </x:c>
      <x:c r="L2" s="7" t="str">
        <x:v>57 кейсов; ID совпадает с именем запроса в Postman.</x:v>
      </x:c>
      <x:c r="M2" s="7" t="str">
        <x:v>57 кейсов; ID совпадает с именем запроса в Postman.</x:v>
      </x:c>
      <x:c r="N2" s="7" t="str">
        <x:v>57 кейсов; ID совпадает с именем запроса в Postman.</x:v>
      </x:c>
      <x:c r="O2" s="7" t="str">
        <x:v>57 кейсов; ID совпадает с именем запроса в Postman.</x:v>
      </x:c>
      <x:c r="P2" s="7" t="str">
        <x:v>57 кейсов; ID совпадает с именем запроса в Postman.</x:v>
      </x:c>
    </x:row>
    <x:row r="4" ht="32" customHeight="1">
      <x:c r="A4" s="60" t="str">
        <x:v>ID</x:v>
      </x:c>
      <x:c r="B4" s="60" t="str">
        <x:v>Endpoint</x:v>
      </x:c>
      <x:c r="C4" s="60" t="str">
        <x:v>Method</x:v>
      </x:c>
      <x:c r="D4" s="60" t="str">
        <x:v>Тип</x:v>
      </x:c>
      <x:c r="E4" s="60" t="str">
        <x:v>Приоритет</x:v>
      </x:c>
      <x:c r="F4" s="60" t="str">
        <x:v>Название</x:v>
      </x:c>
      <x:c r="G4" s="60" t="str">
        <x:v>Предусловия</x:v>
      </x:c>
      <x:c r="H4" s="60" t="str">
        <x:v>Тестовые данные</x:v>
      </x:c>
      <x:c r="I4" s="60" t="str">
        <x:v>Шаги</x:v>
      </x:c>
      <x:c r="J4" s="60" t="str">
        <x:v>Ожидаемый код</x:v>
      </x:c>
      <x:c r="K4" s="60" t="str">
        <x:v>Ожидаемый результат</x:v>
      </x:c>
      <x:c r="L4" s="60" t="str">
        <x:v>Postman request</x:v>
      </x:c>
      <x:c r="M4" s="60" t="str">
        <x:v>Авто</x:v>
      </x:c>
      <x:c r="N4" s="60" t="str">
        <x:v>Статус прогона</x:v>
      </x:c>
      <x:c r="O4" s="60" t="str">
        <x:v>Фактический результат</x:v>
      </x:c>
      <x:c r="P4" s="60" t="str">
        <x:v>Bug ID</x:v>
      </x:c>
    </x:row>
    <x:row r="5" ht="76" customHeight="1">
      <x:c r="A5" s="113" t="str">
        <x:v>PING-001</x:v>
      </x:c>
      <x:c r="B5" s="114" t="str">
        <x:v>/ping</x:v>
      </x:c>
      <x:c r="C5" s="114" t="str">
        <x:v>GET</x:v>
      </x:c>
      <x:c r="D5" s="114" t="str">
        <x:v>Позитивный</x:v>
      </x:c>
      <x:c r="E5" s="114" t="str">
        <x:v>P0</x:v>
      </x:c>
      <x:c r="F5" s="96" t="str">
        <x:v>Проверка доступности сервиса</x:v>
      </x:c>
      <x:c r="G5" s="96" t="str">
        <x:v>Сервис доступен; baseUrl задан в окружении Postman.</x:v>
      </x:c>
      <x:c r="H5" s="96" t="str">
        <x:v>Без тела запроса</x:v>
      </x:c>
      <x:c r="I5" s="96" t="str">
        <x:v>1. Отправить GET /ping.
2. Проверить код, тип и тело ответа.</x:v>
      </x:c>
      <x:c r="J5" s="111" t="n">
        <x:v>201</x:v>
      </x:c>
      <x:c r="K5" s="96" t="str">
        <x:v>HTTP 201; Content-Type text/plain; тело Created.</x:v>
      </x:c>
      <x:c r="L5" s="96" t="str">
        <x:v>[PING-001] Проверка доступности сервиса</x:v>
      </x:c>
      <x:c r="M5" s="114" t="str">
        <x:v>Да</x:v>
      </x:c>
      <x:c r="N5" s="114" t="str">
        <x:v>Пройден</x:v>
      </x:c>
      <x:c r="O5" s="114" t="str">
        <x:v>201 Created.</x:v>
      </x:c>
      <x:c r="P5" s="117" t="str"/>
    </x:row>
    <x:row r="6" ht="76" customHeight="1">
      <x:c r="A6" s="113" t="str">
        <x:v>PING-002</x:v>
      </x:c>
      <x:c r="B6" s="114" t="str">
        <x:v>/ping</x:v>
      </x:c>
      <x:c r="C6" s="114" t="str">
        <x:v>POST</x:v>
      </x:c>
      <x:c r="D6" s="114" t="str">
        <x:v>Негативный</x:v>
      </x:c>
      <x:c r="E6" s="114" t="str">
        <x:v>P2</x:v>
      </x:c>
      <x:c r="F6" s="96" t="str">
        <x:v>Неподдерживаемый метод для health-check</x:v>
      </x:c>
      <x:c r="G6" s="96" t="str">
        <x:v>Сервис доступен; baseUrl задан в окружении Postman.</x:v>
      </x:c>
      <x:c r="H6" s="96" t="str">
        <x:v>Без тела запроса</x:v>
      </x:c>
      <x:c r="I6" s="96" t="str">
        <x:v>1. Отправить POST /ping.
2. Проверить отказ маршрута.</x:v>
      </x:c>
      <x:c r="J6" s="111" t="n">
        <x:v>404</x:v>
      </x:c>
      <x:c r="K6" s="96" t="str">
        <x:v>HTTP 404; ресурс для метода POST отсутствует.</x:v>
      </x:c>
      <x:c r="L6" s="96" t="str">
        <x:v>[PING-002] Неподдерживаемый метод для health-check</x:v>
      </x:c>
      <x:c r="M6" s="114" t="str">
        <x:v>Да</x:v>
      </x:c>
      <x:c r="N6" s="114" t="str">
        <x:v>Пройден</x:v>
      </x:c>
      <x:c r="O6" s="114" t="str">
        <x:v>404 Not Found.</x:v>
      </x:c>
      <x:c r="P6" s="117" t="str"/>
    </x:row>
    <x:row r="7" ht="76" customHeight="1">
      <x:c r="A7" s="113" t="str">
        <x:v>AUTH-001</x:v>
      </x:c>
      <x:c r="B7" s="114" t="str">
        <x:v>/auth</x:v>
      </x:c>
      <x:c r="C7" s="114" t="str">
        <x:v>POST</x:v>
      </x:c>
      <x:c r="D7" s="114" t="str">
        <x:v>Позитивный</x:v>
      </x:c>
      <x:c r="E7" s="114" t="str">
        <x:v>P0</x:v>
      </x:c>
      <x:c r="F7" s="96" t="str">
        <x:v>Получение токена с валидными учётными данными</x:v>
      </x:c>
      <x:c r="G7" s="96" t="str">
        <x:v>Сервис доступен; baseUrl задан в окружении Postman.</x:v>
      </x:c>
      <x:c r="H7" s="96" t="str">
        <x:v>{"username":"admin","password":"password123"}</x:v>
      </x:c>
      <x:c r="I7" s="96" t="str">
        <x:v>1. Отправить POST /auth с JSON.
2. Проверить token.
3. Сохранить token для защищённых операций.</x:v>
      </x:c>
      <x:c r="J7" s="111" t="n">
        <x:v>200</x:v>
      </x:c>
      <x:c r="K7" s="96" t="str">
        <x:v>HTTP 200; JSON содержит непустой строковый token и не содержит reason.</x:v>
      </x:c>
      <x:c r="L7" s="96" t="str">
        <x:v>[AUTH-001] Получение токена с валидными учётными данными</x:v>
      </x:c>
      <x:c r="M7" s="114" t="str">
        <x:v>Да</x:v>
      </x:c>
      <x:c r="N7" s="114" t="str">
        <x:v>Пройден</x:v>
      </x:c>
      <x:c r="O7" s="114" t="str">
        <x:v>200; получен непустой token.</x:v>
      </x:c>
      <x:c r="P7" s="117" t="str"/>
    </x:row>
    <x:row r="8" ht="76" customHeight="1">
      <x:c r="A8" s="113" t="str">
        <x:v>AUTH-002</x:v>
      </x:c>
      <x:c r="B8" s="114" t="str">
        <x:v>/auth</x:v>
      </x:c>
      <x:c r="C8" s="114" t="str">
        <x:v>POST</x:v>
      </x:c>
      <x:c r="D8" s="114" t="str">
        <x:v>Негативный</x:v>
      </x:c>
      <x:c r="E8" s="114" t="str">
        <x:v>P0</x:v>
      </x:c>
      <x:c r="F8" s="96" t="str">
        <x:v>Неверный пароль</x:v>
      </x:c>
      <x:c r="G8" s="96" t="str">
        <x:v>Сервис доступен; baseUrl задан в окружении Postman.</x:v>
      </x:c>
      <x:c r="H8" s="96" t="str">
        <x:v>{"username":"admin","password":"wrong"}</x:v>
      </x:c>
      <x:c r="I8" s="96" t="str">
        <x:v>1. Отправить POST /auth с неверным паролем.
2. Проверить код и отсутствие token.</x:v>
      </x:c>
      <x:c r="J8" s="111" t="n">
        <x:v>401</x:v>
      </x:c>
      <x:c r="K8" s="96" t="str">
        <x:v>HTTP 401 Unauthorized; token отсутствует; возвращено безопасное сообщение об ошибке.</x:v>
      </x:c>
      <x:c r="L8" s="96" t="str">
        <x:v>[AUTH-002] Неверный пароль</x:v>
      </x:c>
      <x:c r="M8" s="114" t="str">
        <x:v>Да</x:v>
      </x:c>
      <x:c r="N8" s="114" t="str">
        <x:v>Провален</x:v>
      </x:c>
      <x:c r="O8" s="114" t="str">
        <x:v>200; {"reason":"Bad credentials"}.</x:v>
      </x:c>
      <x:c r="P8" s="117" t="str">
        <x:v>BUG-001</x:v>
      </x:c>
    </x:row>
    <x:row r="9" ht="76" customHeight="1">
      <x:c r="A9" s="113" t="str">
        <x:v>AUTH-003</x:v>
      </x:c>
      <x:c r="B9" s="114" t="str">
        <x:v>/auth</x:v>
      </x:c>
      <x:c r="C9" s="114" t="str">
        <x:v>POST</x:v>
      </x:c>
      <x:c r="D9" s="114" t="str">
        <x:v>Негативный</x:v>
      </x:c>
      <x:c r="E9" s="114" t="str">
        <x:v>P1</x:v>
      </x:c>
      <x:c r="F9" s="96" t="str">
        <x:v>Отсутствует обязательный password</x:v>
      </x:c>
      <x:c r="G9" s="96" t="str">
        <x:v>Сервис доступен; baseUrl задан в окружении Postman.</x:v>
      </x:c>
      <x:c r="H9" s="96" t="str">
        <x:v>{"username":"admin"}</x:v>
      </x:c>
      <x:c r="I9" s="96" t="str">
        <x:v>1. Отправить POST /auth без password.
2. Проверить ошибку валидации.</x:v>
      </x:c>
      <x:c r="J9" s="111" t="n">
        <x:v>400</x:v>
      </x:c>
      <x:c r="K9" s="96" t="str">
        <x:v>HTTP 400 Bad Request; token отсутствует; указан некорректный/пропущенный параметр.</x:v>
      </x:c>
      <x:c r="L9" s="96" t="str">
        <x:v>[AUTH-003] Отсутствует обязательный password</x:v>
      </x:c>
      <x:c r="M9" s="114" t="str">
        <x:v>Да</x:v>
      </x:c>
      <x:c r="N9" s="114" t="str">
        <x:v>Провален</x:v>
      </x:c>
      <x:c r="O9" s="114" t="str">
        <x:v>200; {"reason":"Bad credentials"}.</x:v>
      </x:c>
      <x:c r="P9" s="117" t="str">
        <x:v>BUG-001</x:v>
      </x:c>
    </x:row>
    <x:row r="10" ht="76" customHeight="1">
      <x:c r="A10" s="113" t="str">
        <x:v>AUTH-004</x:v>
      </x:c>
      <x:c r="B10" s="114" t="str">
        <x:v>/auth</x:v>
      </x:c>
      <x:c r="C10" s="114" t="str">
        <x:v>POST</x:v>
      </x:c>
      <x:c r="D10" s="114" t="str">
        <x:v>Негативный</x:v>
      </x:c>
      <x:c r="E10" s="114" t="str">
        <x:v>P1</x:v>
      </x:c>
      <x:c r="F10" s="96" t="str">
        <x:v>Невалидный JSON</x:v>
      </x:c>
      <x:c r="G10" s="96" t="str">
        <x:v>Сервис доступен; baseUrl задан в окружении Postman.</x:v>
      </x:c>
      <x:c r="H10" s="96" t="str">
        <x:v>{"username":"admin",</x:v>
      </x:c>
      <x:c r="I10" s="96" t="str">
        <x:v>1. Отправить синтаксически невалидный JSON.
2. Проверить отказ до бизнес-логики.</x:v>
      </x:c>
      <x:c r="J10" s="111" t="n">
        <x:v>400</x:v>
      </x:c>
      <x:c r="K10" s="96" t="str">
        <x:v>HTTP 400 Bad Request; token не создан.</x:v>
      </x:c>
      <x:c r="L10" s="96" t="str">
        <x:v>[AUTH-004] Невалидный JSON</x:v>
      </x:c>
      <x:c r="M10" s="114" t="str">
        <x:v>Да</x:v>
      </x:c>
      <x:c r="N10" s="114" t="str">
        <x:v>Пройден</x:v>
      </x:c>
      <x:c r="O10" s="114" t="str">
        <x:v>400 Bad Request.</x:v>
      </x:c>
      <x:c r="P10" s="117" t="str"/>
    </x:row>
    <x:row r="11" ht="76" customHeight="1">
      <x:c r="A11" s="113" t="str">
        <x:v>BOOK-LIST-001</x:v>
      </x:c>
      <x:c r="B11" s="114" t="str">
        <x:v>/booking</x:v>
      </x:c>
      <x:c r="C11" s="114" t="str">
        <x:v>GET</x:v>
      </x:c>
      <x:c r="D11" s="114" t="str">
        <x:v>Позитивный</x:v>
      </x:c>
      <x:c r="E11" s="114" t="str">
        <x:v>P0</x:v>
      </x:c>
      <x:c r="F11" s="96" t="str">
        <x:v>Получение списка идентификаторов</x:v>
      </x:c>
      <x:c r="G11" s="96" t="str">
        <x:v>Сервис доступен; baseUrl задан в окружении Postman.</x:v>
      </x:c>
      <x:c r="H11" s="96" t="str">
        <x:v>Без query-параметров</x:v>
      </x:c>
      <x:c r="I11" s="96" t="str">
        <x:v>1. Отправить GET /booking.
2. Проверить структуру каждого элемента.</x:v>
      </x:c>
      <x:c r="J11" s="111" t="n">
        <x:v>200</x:v>
      </x:c>
      <x:c r="K11" s="96" t="str">
        <x:v>HTTP 200; JSON-массив; каждый элемент содержит числовой bookingid.</x:v>
      </x:c>
      <x:c r="L11" s="96" t="str">
        <x:v>[BOOK-LIST-001] Получение списка идентификаторов</x:v>
      </x:c>
      <x:c r="M11" s="114" t="str">
        <x:v>Да</x:v>
      </x:c>
      <x:c r="N11" s="114" t="str">
        <x:v>Пройден</x:v>
      </x:c>
      <x:c r="O11" s="114" t="str">
        <x:v>200; возвращён массив bookingid.</x:v>
      </x:c>
      <x:c r="P11" s="117" t="str"/>
    </x:row>
    <x:row r="12" ht="76" customHeight="1">
      <x:c r="A12" s="113" t="str">
        <x:v>BOOK-LIST-002</x:v>
      </x:c>
      <x:c r="B12" s="114" t="str">
        <x:v>/booking</x:v>
      </x:c>
      <x:c r="C12" s="114" t="str">
        <x:v>GET</x:v>
      </x:c>
      <x:c r="D12" s="114" t="str">
        <x:v>Позитивный</x:v>
      </x:c>
      <x:c r="E12" s="114" t="str">
        <x:v>P1</x:v>
      </x:c>
      <x:c r="F12" s="96" t="str">
        <x:v>Фильтрация по firstname</x:v>
      </x:c>
      <x:c r="G12" s="96" t="str">
        <x:v>Выполнен [SETUP] Create filter fixture; filterBookingId сохранён.</x:v>
      </x:c>
      <x:c r="H12" s="96" t="str">
        <x:v>firstname={{runFirstName}}</x:v>
      </x:c>
      <x:c r="I12" s="96" t="str">
        <x:v>1. Отправить GET с firstname.
2. Проверить наличие filterBookingId.</x:v>
      </x:c>
      <x:c r="J12" s="111" t="n">
        <x:v>200</x:v>
      </x:c>
      <x:c r="K12" s="96" t="str">
        <x:v>HTTP 200; массив содержит созданную бронь.</x:v>
      </x:c>
      <x:c r="L12" s="96" t="str">
        <x:v>[BOOK-LIST-002] Фильтрация по firstname</x:v>
      </x:c>
      <x:c r="M12" s="114" t="str">
        <x:v>Да</x:v>
      </x:c>
      <x:c r="N12" s="114" t="str">
        <x:v>Пройден</x:v>
      </x:c>
      <x:c r="O12" s="114" t="str">
        <x:v>200; созданный bookingid найден.</x:v>
      </x:c>
      <x:c r="P12" s="117" t="str"/>
    </x:row>
    <x:row r="13" ht="76" customHeight="1">
      <x:c r="A13" s="113" t="str">
        <x:v>BOOK-LIST-003</x:v>
      </x:c>
      <x:c r="B13" s="114" t="str">
        <x:v>/booking</x:v>
      </x:c>
      <x:c r="C13" s="114" t="str">
        <x:v>GET</x:v>
      </x:c>
      <x:c r="D13" s="114" t="str">
        <x:v>Позитивный</x:v>
      </x:c>
      <x:c r="E13" s="114" t="str">
        <x:v>P1</x:v>
      </x:c>
      <x:c r="F13" s="96" t="str">
        <x:v>Фильтрация по lastname</x:v>
      </x:c>
      <x:c r="G13" s="96" t="str">
        <x:v>Выполнен [SETUP] Create filter fixture; filterBookingId сохранён.</x:v>
      </x:c>
      <x:c r="H13" s="96" t="str">
        <x:v>lastname={{runLastName}}</x:v>
      </x:c>
      <x:c r="I13" s="96" t="str">
        <x:v>1. Отправить GET с lastname.
2. Проверить наличие filterBookingId.</x:v>
      </x:c>
      <x:c r="J13" s="111" t="n">
        <x:v>200</x:v>
      </x:c>
      <x:c r="K13" s="96" t="str">
        <x:v>HTTP 200; массив содержит созданную бронь.</x:v>
      </x:c>
      <x:c r="L13" s="96" t="str">
        <x:v>[BOOK-LIST-003] Фильтрация по lastname</x:v>
      </x:c>
      <x:c r="M13" s="114" t="str">
        <x:v>Да</x:v>
      </x:c>
      <x:c r="N13" s="114" t="str">
        <x:v>Пройден</x:v>
      </x:c>
      <x:c r="O13" s="114" t="str">
        <x:v>200; созданный bookingid найден.</x:v>
      </x:c>
      <x:c r="P13" s="117" t="str"/>
    </x:row>
    <x:row r="14" ht="76" customHeight="1">
      <x:c r="A14" s="113" t="str">
        <x:v>BOOK-LIST-004</x:v>
      </x:c>
      <x:c r="B14" s="114" t="str">
        <x:v>/booking</x:v>
      </x:c>
      <x:c r="C14" s="114" t="str">
        <x:v>GET</x:v>
      </x:c>
      <x:c r="D14" s="114" t="str">
        <x:v>Позитивный</x:v>
      </x:c>
      <x:c r="E14" s="114" t="str">
        <x:v>P1</x:v>
      </x:c>
      <x:c r="F14" s="96" t="str">
        <x:v>Совместная фильтрация по имени и фамилии</x:v>
      </x:c>
      <x:c r="G14" s="96" t="str">
        <x:v>Выполнен [SETUP] Create filter fixture; filterBookingId сохранён.</x:v>
      </x:c>
      <x:c r="H14" s="96" t="str">
        <x:v>firstname={{runFirstName}}; lastname={{runLastName}}</x:v>
      </x:c>
      <x:c r="I14" s="96" t="str">
        <x:v>1. Передать оба фильтра.
2. Проверить точное совпадение ID.</x:v>
      </x:c>
      <x:c r="J14" s="111" t="n">
        <x:v>200</x:v>
      </x:c>
      <x:c r="K14" s="96" t="str">
        <x:v>HTTP 200; результат содержит filterBookingId и не содержит записей с другой парой имён.</x:v>
      </x:c>
      <x:c r="L14" s="96" t="str">
        <x:v>[BOOK-LIST-004] Совместная фильтрация по имени и фамилии</x:v>
      </x:c>
      <x:c r="M14" s="114" t="str">
        <x:v>Да</x:v>
      </x:c>
      <x:c r="N14" s="114" t="str">
        <x:v>Пройден</x:v>
      </x:c>
      <x:c r="O14" s="114" t="str">
        <x:v>200; возвращён filterBookingId.</x:v>
      </x:c>
      <x:c r="P14" s="117" t="str"/>
    </x:row>
    <x:row r="15" ht="76" customHeight="1">
      <x:c r="A15" s="113" t="str">
        <x:v>BOOK-LIST-005</x:v>
      </x:c>
      <x:c r="B15" s="114" t="str">
        <x:v>/booking</x:v>
      </x:c>
      <x:c r="C15" s="114" t="str">
        <x:v>GET</x:v>
      </x:c>
      <x:c r="D15" s="114" t="str">
        <x:v>Негативный</x:v>
      </x:c>
      <x:c r="E15" s="114" t="str">
        <x:v>P2</x:v>
      </x:c>
      <x:c r="F15" s="96" t="str">
        <x:v>Фильтр без совпадений</x:v>
      </x:c>
      <x:c r="G15" s="96" t="str">
        <x:v>Сервис доступен; baseUrl задан в окружении Postman.</x:v>
      </x:c>
      <x:c r="H15" s="96" t="str">
        <x:v>firstname=DefinitelyNoSuchGuest</x:v>
      </x:c>
      <x:c r="I15" s="96" t="str">
        <x:v>1. Отправить фильтр с уникальным несуществующим значением.
2. Проверить пустой результат.</x:v>
      </x:c>
      <x:c r="J15" s="111" t="n">
        <x:v>200</x:v>
      </x:c>
      <x:c r="K15" s="96" t="str">
        <x:v>HTTP 200; пустой JSON-массив [].</x:v>
      </x:c>
      <x:c r="L15" s="96" t="str">
        <x:v>[BOOK-LIST-005] Фильтр без совпадений</x:v>
      </x:c>
      <x:c r="M15" s="114" t="str">
        <x:v>Да</x:v>
      </x:c>
      <x:c r="N15" s="114" t="str">
        <x:v>Пройден</x:v>
      </x:c>
      <x:c r="O15" s="114" t="str">
        <x:v>200; [].</x:v>
      </x:c>
      <x:c r="P15" s="117" t="str"/>
    </x:row>
    <x:row r="16" ht="76" customHeight="1">
      <x:c r="A16" s="113" t="str">
        <x:v>BOOK-LIST-006</x:v>
      </x:c>
      <x:c r="B16" s="114" t="str">
        <x:v>/booking</x:v>
      </x:c>
      <x:c r="C16" s="114" t="str">
        <x:v>GET</x:v>
      </x:c>
      <x:c r="D16" s="114" t="str">
        <x:v>Негативный</x:v>
      </x:c>
      <x:c r="E16" s="114" t="str">
        <x:v>P2</x:v>
      </x:c>
      <x:c r="F16" s="96" t="str">
        <x:v>Регистрозависимое несовпадение firstname</x:v>
      </x:c>
      <x:c r="G16" s="96" t="str">
        <x:v>Выполнен [SETUP] Create filter fixture; filterBookingId сохранён.</x:v>
      </x:c>
      <x:c r="H16" s="96" t="str">
        <x:v>firstname={{runFirstNameLower}}</x:v>
      </x:c>
      <x:c r="I16" s="96" t="str">
        <x:v>1. Изменить регистр значения.
2. Выполнить фильтрацию.</x:v>
      </x:c>
      <x:c r="J16" s="111" t="n">
        <x:v>200</x:v>
      </x:c>
      <x:c r="K16" s="96" t="str">
        <x:v>HTTP 200; filterBookingId отсутствует (точное регистрозависимое сравнение).</x:v>
      </x:c>
      <x:c r="L16" s="96" t="str">
        <x:v>[BOOK-LIST-006] Регистрозависимое несовпадение firstname</x:v>
      </x:c>
      <x:c r="M16" s="114" t="str">
        <x:v>Да</x:v>
      </x:c>
      <x:c r="N16" s="114" t="str">
        <x:v>Пройден</x:v>
      </x:c>
      <x:c r="O16" s="114" t="str">
        <x:v>200; [].</x:v>
      </x:c>
      <x:c r="P16" s="117" t="str"/>
    </x:row>
    <x:row r="17" ht="76" customHeight="1">
      <x:c r="A17" s="113" t="str">
        <x:v>BOOK-LIST-007</x:v>
      </x:c>
      <x:c r="B17" s="114" t="str">
        <x:v>/booking</x:v>
      </x:c>
      <x:c r="C17" s="114" t="str">
        <x:v>GET</x:v>
      </x:c>
      <x:c r="D17" s="114" t="str">
        <x:v>Позитивный</x:v>
      </x:c>
      <x:c r="E17" s="114" t="str">
        <x:v>P0</x:v>
      </x:c>
      <x:c r="F17" s="96" t="str">
        <x:v>Граница фильтра checkin включительна</x:v>
      </x:c>
      <x:c r="G17" s="96" t="str">
        <x:v>Выполнен [SETUP] Create filter fixture; filterBookingId сохранён.</x:v>
      </x:c>
      <x:c r="H17" s="96" t="str">
        <x:v>checkin=2030-06-15; у фикстуры checkin=2030-06-15</x:v>
      </x:c>
      <x:c r="I17" s="96" t="str">
        <x:v>1. Передать checkin, равный дате фикстуры.
2. Проверить наличие filterBookingId.</x:v>
      </x:c>
      <x:c r="J17" s="111" t="n">
        <x:v>200</x:v>
      </x:c>
      <x:c r="K17" s="96" t="str">
        <x:v>HTTP 200; фикстура включена, так как документация задаёт &gt;=.</x:v>
      </x:c>
      <x:c r="L17" s="96" t="str">
        <x:v>[BOOK-LIST-007] Граница фильтра checkin включительна</x:v>
      </x:c>
      <x:c r="M17" s="114" t="str">
        <x:v>Да</x:v>
      </x:c>
      <x:c r="N17" s="114" t="str">
        <x:v>Провален</x:v>
      </x:c>
      <x:c r="O17" s="114" t="str">
        <x:v>200; массив не содержит ID фикстуры при равной дате checkin.</x:v>
      </x:c>
      <x:c r="P17" s="117" t="str">
        <x:v>BUG-006</x:v>
      </x:c>
    </x:row>
    <x:row r="18" ht="76" customHeight="1">
      <x:c r="A18" s="113" t="str">
        <x:v>BOOK-LIST-008</x:v>
      </x:c>
      <x:c r="B18" s="114" t="str">
        <x:v>/booking</x:v>
      </x:c>
      <x:c r="C18" s="114" t="str">
        <x:v>GET</x:v>
      </x:c>
      <x:c r="D18" s="114" t="str">
        <x:v>Позитивный</x:v>
      </x:c>
      <x:c r="E18" s="114" t="str">
        <x:v>P0</x:v>
      </x:c>
      <x:c r="F18" s="96" t="str">
        <x:v>Граница фильтра checkout включительна</x:v>
      </x:c>
      <x:c r="G18" s="96" t="str">
        <x:v>Выполнен [SETUP] Create filter fixture; filterBookingId сохранён.</x:v>
      </x:c>
      <x:c r="H18" s="96" t="str">
        <x:v>checkout=2030-06-20; у фикстуры checkout=2030-06-20</x:v>
      </x:c>
      <x:c r="I18" s="96" t="str">
        <x:v>1. Передать checkout, равный дате фикстуры.
2. Проверить наличие filterBookingId.</x:v>
      </x:c>
      <x:c r="J18" s="111" t="n">
        <x:v>200</x:v>
      </x:c>
      <x:c r="K18" s="96" t="str">
        <x:v>HTTP 200; фикстура включена согласно документированному условию &gt;=.</x:v>
      </x:c>
      <x:c r="L18" s="96" t="str">
        <x:v>[BOOK-LIST-008] Граница фильтра checkout включительна</x:v>
      </x:c>
      <x:c r="M18" s="114" t="str">
        <x:v>Да</x:v>
      </x:c>
      <x:c r="N18" s="114" t="str">
        <x:v>Пройден</x:v>
      </x:c>
      <x:c r="O18" s="114" t="str">
        <x:v>200; массив содержит ID фикстуры.</x:v>
      </x:c>
      <x:c r="P18" s="117" t="str"/>
    </x:row>
    <x:row r="19" ht="76" customHeight="1">
      <x:c r="A19" s="113" t="str">
        <x:v>BOOK-LIST-009</x:v>
      </x:c>
      <x:c r="B19" s="114" t="str">
        <x:v>/booking</x:v>
      </x:c>
      <x:c r="C19" s="114" t="str">
        <x:v>GET</x:v>
      </x:c>
      <x:c r="D19" s="114" t="str">
        <x:v>Позитивный</x:v>
      </x:c>
      <x:c r="E19" s="114" t="str">
        <x:v>P1</x:v>
      </x:c>
      <x:c r="F19" s="96" t="str">
        <x:v>Направление сравнения фильтра checkout</x:v>
      </x:c>
      <x:c r="G19" s="96" t="str">
        <x:v>Выполнен [SETUP] Create filter fixture; filterBookingId сохранён.</x:v>
      </x:c>
      <x:c r="H19" s="96" t="str">
        <x:v>checkout=2030-06-19; у фикстуры checkout=2030-06-20</x:v>
      </x:c>
      <x:c r="I19" s="96" t="str">
        <x:v>1. Передать дату на день раньше checkout фикстуры.
2. Проверить наличие ID.</x:v>
      </x:c>
      <x:c r="J19" s="111" t="n">
        <x:v>200</x:v>
      </x:c>
      <x:c r="K19" s="96" t="str">
        <x:v>HTTP 200; фикстура включена, поскольку 2030-06-20 &gt;= 2030-06-19.</x:v>
      </x:c>
      <x:c r="L19" s="96" t="str">
        <x:v>[BOOK-LIST-009] Направление сравнения фильтра checkout</x:v>
      </x:c>
      <x:c r="M19" s="114" t="str">
        <x:v>Да</x:v>
      </x:c>
      <x:c r="N19" s="114" t="str">
        <x:v>Провален</x:v>
      </x:c>
      <x:c r="O19" s="114" t="str">
        <x:v>200; массив не содержит ID фикстуры — направление сравнения не соответствует документации.</x:v>
      </x:c>
      <x:c r="P19" s="117" t="str">
        <x:v>BUG-006</x:v>
      </x:c>
    </x:row>
    <x:row r="20" ht="76" customHeight="1">
      <x:c r="A20" s="113" t="str">
        <x:v>BOOK-LIST-010</x:v>
      </x:c>
      <x:c r="B20" s="114" t="str">
        <x:v>/booking</x:v>
      </x:c>
      <x:c r="C20" s="114" t="str">
        <x:v>GET</x:v>
      </x:c>
      <x:c r="D20" s="114" t="str">
        <x:v>Негативный</x:v>
      </x:c>
      <x:c r="E20" s="114" t="str">
        <x:v>P0</x:v>
      </x:c>
      <x:c r="F20" s="96" t="str">
        <x:v>Невалидный формат даты в query</x:v>
      </x:c>
      <x:c r="G20" s="96" t="str">
        <x:v>Сервис доступен; baseUrl задан в окружении Postman.</x:v>
      </x:c>
      <x:c r="H20" s="96" t="str">
        <x:v>checkin=not-a-date</x:v>
      </x:c>
      <x:c r="I20" s="96" t="str">
        <x:v>1. Передать невалидную дату.
2. Проверить управляемую ошибку клиента.</x:v>
      </x:c>
      <x:c r="J20" s="111" t="n">
        <x:v>400</x:v>
      </x:c>
      <x:c r="K20" s="96" t="str">
        <x:v>HTTP 400; понятное сообщение валидации; сервис остаётся доступен.</x:v>
      </x:c>
      <x:c r="L20" s="96" t="str">
        <x:v>[BOOK-LIST-010] Невалидный формат даты в query</x:v>
      </x:c>
      <x:c r="M20" s="114" t="str">
        <x:v>Да</x:v>
      </x:c>
      <x:c r="N20" s="114" t="str">
        <x:v>Провален</x:v>
      </x:c>
      <x:c r="O20" s="114" t="str">
        <x:v>500 Internal Server Error.</x:v>
      </x:c>
      <x:c r="P20" s="117" t="str">
        <x:v>BUG-006</x:v>
      </x:c>
    </x:row>
    <x:row r="21" ht="76" customHeight="1">
      <x:c r="A21" s="113" t="str">
        <x:v>BOOK-GET-001</x:v>
      </x:c>
      <x:c r="B21" s="114" t="str">
        <x:v>/booking/:id</x:v>
      </x:c>
      <x:c r="C21" s="114" t="str">
        <x:v>GET</x:v>
      </x:c>
      <x:c r="D21" s="114" t="str">
        <x:v>Позитивный</x:v>
      </x:c>
      <x:c r="E21" s="114" t="str">
        <x:v>P0</x:v>
      </x:c>
      <x:c r="F21" s="96" t="str">
        <x:v>Получение существующей брони в JSON</x:v>
      </x:c>
      <x:c r="G21" s="96" t="str">
        <x:v>Выполнен [SETUP] Create filter fixture; filterBookingId сохранён.</x:v>
      </x:c>
      <x:c r="H21" s="96" t="str">
        <x:v>id={{filterBookingId}}; Accept=application/json</x:v>
      </x:c>
      <x:c r="I21" s="96" t="str">
        <x:v>1. Отправить GET по сохранённому ID.
2. Проверить схему и значения фикстуры.</x:v>
      </x:c>
      <x:c r="J21" s="111" t="n">
        <x:v>200</x:v>
      </x:c>
      <x:c r="K21" s="96" t="str">
        <x:v>HTTP 200; JSON содержит все поля брони с корректными типами и значениями.</x:v>
      </x:c>
      <x:c r="L21" s="96" t="str">
        <x:v>[BOOK-GET-001] Получение существующей брони в JSON</x:v>
      </x:c>
      <x:c r="M21" s="114" t="str">
        <x:v>Да</x:v>
      </x:c>
      <x:c r="N21" s="114" t="str">
        <x:v>Пройден</x:v>
      </x:c>
      <x:c r="O21" s="114" t="str">
        <x:v>200; данные совпали с фикстурой.</x:v>
      </x:c>
      <x:c r="P21" s="117" t="str"/>
    </x:row>
    <x:row r="22" ht="76" customHeight="1">
      <x:c r="A22" s="113" t="str">
        <x:v>BOOK-GET-002</x:v>
      </x:c>
      <x:c r="B22" s="114" t="str">
        <x:v>/booking/:id</x:v>
      </x:c>
      <x:c r="C22" s="114" t="str">
        <x:v>GET</x:v>
      </x:c>
      <x:c r="D22" s="114" t="str">
        <x:v>Позитивный</x:v>
      </x:c>
      <x:c r="E22" s="114" t="str">
        <x:v>P1</x:v>
      </x:c>
      <x:c r="F22" s="96" t="str">
        <x:v>Получение существующей брони в XML</x:v>
      </x:c>
      <x:c r="G22" s="96" t="str">
        <x:v>Выполнен [SETUP] Create filter fixture; filterBookingId сохранён.</x:v>
      </x:c>
      <x:c r="H22" s="96" t="str">
        <x:v>id={{filterBookingId}}; Accept=application/xml</x:v>
      </x:c>
      <x:c r="I22" s="96" t="str">
        <x:v>1. Запросить бронь с Accept application/xml.
2. Проверить XML и Content-Type.</x:v>
      </x:c>
      <x:c r="J22" s="111" t="n">
        <x:v>200</x:v>
      </x:c>
      <x:c r="K22" s="96" t="str">
        <x:v>HTTP 200; валидный XML; Content-Type содержит application/xml.</x:v>
      </x:c>
      <x:c r="L22" s="96" t="str">
        <x:v>[BOOK-GET-002] Получение существующей брони в XML</x:v>
      </x:c>
      <x:c r="M22" s="114" t="str">
        <x:v>Да</x:v>
      </x:c>
      <x:c r="N22" s="114" t="str">
        <x:v>Провален</x:v>
      </x:c>
      <x:c r="O22" s="114" t="str">
        <x:v>200 и XML-тело, но Content-Type: text/html; charset=utf-8.</x:v>
      </x:c>
      <x:c r="P22" s="117" t="str">
        <x:v>BUG-007</x:v>
      </x:c>
    </x:row>
    <x:row r="23" ht="76" customHeight="1">
      <x:c r="A23" s="113" t="str">
        <x:v>BOOK-GET-003</x:v>
      </x:c>
      <x:c r="B23" s="114" t="str">
        <x:v>/booking/:id</x:v>
      </x:c>
      <x:c r="C23" s="114" t="str">
        <x:v>GET</x:v>
      </x:c>
      <x:c r="D23" s="114" t="str">
        <x:v>Негативный</x:v>
      </x:c>
      <x:c r="E23" s="114" t="str">
        <x:v>P0</x:v>
      </x:c>
      <x:c r="F23" s="96" t="str">
        <x:v>Несуществующий bookingid</x:v>
      </x:c>
      <x:c r="G23" s="96" t="str">
        <x:v>Сервис доступен; baseUrl задан в окружении Postman.</x:v>
      </x:c>
      <x:c r="H23" s="96" t="str">
        <x:v>id=999999999</x:v>
      </x:c>
      <x:c r="I23" s="96" t="str">
        <x:v>1. Отправить GET по отсутствующему ID.
2. Проверить 404.</x:v>
      </x:c>
      <x:c r="J23" s="111" t="n">
        <x:v>404</x:v>
      </x:c>
      <x:c r="K23" s="96" t="str">
        <x:v>HTTP 404 Not Found.</x:v>
      </x:c>
      <x:c r="L23" s="96" t="str">
        <x:v>[BOOK-GET-003] Несуществующий bookingid</x:v>
      </x:c>
      <x:c r="M23" s="114" t="str">
        <x:v>Да</x:v>
      </x:c>
      <x:c r="N23" s="114" t="str">
        <x:v>Пройден</x:v>
      </x:c>
      <x:c r="O23" s="114" t="str">
        <x:v>404 Not Found.</x:v>
      </x:c>
      <x:c r="P23" s="117" t="str"/>
    </x:row>
    <x:row r="24" ht="76" customHeight="1">
      <x:c r="A24" s="113" t="str">
        <x:v>BOOK-GET-004</x:v>
      </x:c>
      <x:c r="B24" s="114" t="str">
        <x:v>/booking/:id</x:v>
      </x:c>
      <x:c r="C24" s="114" t="str">
        <x:v>GET</x:v>
      </x:c>
      <x:c r="D24" s="114" t="str">
        <x:v>Негативный</x:v>
      </x:c>
      <x:c r="E24" s="114" t="str">
        <x:v>P2</x:v>
      </x:c>
      <x:c r="F24" s="96" t="str">
        <x:v>Нечисловой идентификатор</x:v>
      </x:c>
      <x:c r="G24" s="96" t="str">
        <x:v>Сервис доступен; baseUrl задан в окружении Postman.</x:v>
      </x:c>
      <x:c r="H24" s="96" t="str">
        <x:v>id=not-a-number</x:v>
      </x:c>
      <x:c r="I24" s="96" t="str">
        <x:v>1. Отправить GET с нечисловым ID.
2. Проверить отсутствие ресурса.</x:v>
      </x:c>
      <x:c r="J24" s="111" t="n">
        <x:v>404</x:v>
      </x:c>
      <x:c r="K24" s="96" t="str">
        <x:v>HTTP 404; чужая бронь не возвращается.</x:v>
      </x:c>
      <x:c r="L24" s="96" t="str">
        <x:v>[BOOK-GET-004] Нечисловой идентификатор</x:v>
      </x:c>
      <x:c r="M24" s="114" t="str">
        <x:v>Да</x:v>
      </x:c>
      <x:c r="N24" s="114" t="str">
        <x:v>Пройден</x:v>
      </x:c>
      <x:c r="O24" s="114" t="str">
        <x:v>404 Not Found.</x:v>
      </x:c>
      <x:c r="P24" s="117" t="str"/>
    </x:row>
    <x:row r="25" ht="76" customHeight="1">
      <x:c r="A25" s="113" t="str">
        <x:v>BOOK-GET-005</x:v>
      </x:c>
      <x:c r="B25" s="114" t="str">
        <x:v>/booking/:id</x:v>
      </x:c>
      <x:c r="C25" s="114" t="str">
        <x:v>GET</x:v>
      </x:c>
      <x:c r="D25" s="114" t="str">
        <x:v>Негативный</x:v>
      </x:c>
      <x:c r="E25" s="114" t="str">
        <x:v>P0</x:v>
      </x:c>
      <x:c r="F25" s="96" t="str">
        <x:v>Числовой префикс с мусором в ID</x:v>
      </x:c>
      <x:c r="G25" s="96" t="str">
        <x:v>Выполнен [SETUP] Create filter fixture; filterBookingId сохранён.</x:v>
      </x:c>
      <x:c r="H25" s="96" t="str">
        <x:v>id={{filterBookingId}}abc</x:v>
      </x:c>
      <x:c r="I25" s="96" t="str">
        <x:v>1. Дописать abc к валидному ID.
2. Выполнить GET.
3. Убедиться, что бронь не раскрыта.</x:v>
      </x:c>
      <x:c r="J25" s="111" t="n">
        <x:v>400</x:v>
      </x:c>
      <x:c r="K25" s="96" t="str">
        <x:v>HTTP 400 (допустимо 404); данные существующей брони не возвращаются.</x:v>
      </x:c>
      <x:c r="L25" s="96" t="str">
        <x:v>[BOOK-GET-005] Числовой префикс с мусором в ID</x:v>
      </x:c>
      <x:c r="M25" s="114" t="str">
        <x:v>Да</x:v>
      </x:c>
      <x:c r="N25" s="114" t="str">
        <x:v>Провален</x:v>
      </x:c>
      <x:c r="O25" s="114" t="str">
        <x:v>200; возвращена бронь для числового префикса.</x:v>
      </x:c>
      <x:c r="P25" s="117" t="str">
        <x:v>BUG-008</x:v>
      </x:c>
    </x:row>
    <x:row r="26" ht="76" customHeight="1">
      <x:c r="A26" s="113" t="str">
        <x:v>BOOK-GET-006</x:v>
      </x:c>
      <x:c r="B26" s="114" t="str">
        <x:v>/booking/:id</x:v>
      </x:c>
      <x:c r="C26" s="114" t="str">
        <x:v>GET</x:v>
      </x:c>
      <x:c r="D26" s="114" t="str">
        <x:v>Негативный</x:v>
      </x:c>
      <x:c r="E26" s="114" t="str">
        <x:v>P1</x:v>
      </x:c>
      <x:c r="F26" s="96" t="str">
        <x:v>Неподдерживаемый Accept</x:v>
      </x:c>
      <x:c r="G26" s="96" t="str">
        <x:v>Выполнен [SETUP] Create filter fixture; filterBookingId сохранён.</x:v>
      </x:c>
      <x:c r="H26" s="96" t="str">
        <x:v>Accept=application/pdf</x:v>
      </x:c>
      <x:c r="I26" s="96" t="str">
        <x:v>1. Запросить существующую бронь с application/pdf.
2. Проверить content negotiation.</x:v>
      </x:c>
      <x:c r="J26" s="111" t="n">
        <x:v>406</x:v>
      </x:c>
      <x:c r="K26" s="96" t="str">
        <x:v>HTTP 406 Not Acceptable.</x:v>
      </x:c>
      <x:c r="L26" s="96" t="str">
        <x:v>[BOOK-GET-006] Неподдерживаемый Accept</x:v>
      </x:c>
      <x:c r="M26" s="114" t="str">
        <x:v>Да</x:v>
      </x:c>
      <x:c r="N26" s="114" t="str">
        <x:v>Провален</x:v>
      </x:c>
      <x:c r="O26" s="114" t="str">
        <x:v>418 I'm a Teapot.</x:v>
      </x:c>
      <x:c r="P26" s="117" t="str">
        <x:v>BUG-007</x:v>
      </x:c>
    </x:row>
    <x:row r="27" ht="76" customHeight="1">
      <x:c r="A27" s="113" t="str">
        <x:v>BOOK-POST-001</x:v>
      </x:c>
      <x:c r="B27" s="114" t="str">
        <x:v>/booking</x:v>
      </x:c>
      <x:c r="C27" s="114" t="str">
        <x:v>POST</x:v>
      </x:c>
      <x:c r="D27" s="114" t="str">
        <x:v>Позитивный</x:v>
      </x:c>
      <x:c r="E27" s="114" t="str">
        <x:v>P0</x:v>
      </x:c>
      <x:c r="F27" s="96" t="str">
        <x:v>Создание брони в JSON</x:v>
      </x:c>
      <x:c r="G27" s="96" t="str">
        <x:v>Сервис доступен; baseUrl задан в окружении Postman.</x:v>
      </x:c>
      <x:c r="H27" s="96" t="str">
        <x:v>Все обязательные поля; корректные типы и даты</x:v>
      </x:c>
      <x:c r="I27" s="96" t="str">
        <x:v>1. Отправить валидный JSON.
2. Проверить bookingid и echo данных.
3. Получить бронь по ID.</x:v>
      </x:c>
      <x:c r="J27" s="111" t="n">
        <x:v>200</x:v>
      </x:c>
      <x:c r="K27" s="96" t="str">
        <x:v>HTTP 200; числовой bookingid; booking полностью совпадает с запросом.</x:v>
      </x:c>
      <x:c r="L27" s="96" t="str">
        <x:v>[BOOK-POST-001] Создание брони в JSON</x:v>
      </x:c>
      <x:c r="M27" s="114" t="str">
        <x:v>Да</x:v>
      </x:c>
      <x:c r="N27" s="114" t="str">
        <x:v>Пройден</x:v>
      </x:c>
      <x:c r="O27" s="114" t="str">
        <x:v>200; бронь создана, данные совпали.</x:v>
      </x:c>
      <x:c r="P27" s="117" t="str"/>
    </x:row>
    <x:row r="28" ht="76" customHeight="1">
      <x:c r="A28" s="113" t="str">
        <x:v>BOOK-POST-002</x:v>
      </x:c>
      <x:c r="B28" s="114" t="str">
        <x:v>/booking</x:v>
      </x:c>
      <x:c r="C28" s="114" t="str">
        <x:v>POST</x:v>
      </x:c>
      <x:c r="D28" s="114" t="str">
        <x:v>Позитивный</x:v>
      </x:c>
      <x:c r="E28" s="114" t="str">
        <x:v>P0</x:v>
      </x:c>
      <x:c r="F28" s="96" t="str">
        <x:v>Создание брони в XML с depositpaid=false</x:v>
      </x:c>
      <x:c r="G28" s="96" t="str">
        <x:v>Сервис доступен; baseUrl задан в окружении Postman.</x:v>
      </x:c>
      <x:c r="H28" s="96" t="str">
        <x:v>Валидный XML; depositpaid=false; Accept=application/json</x:v>
      </x:c>
      <x:c r="I28" s="96" t="str">
        <x:v>1. Отправить XML.
2. Проверить JSON-ответ.
3. Сравнить depositpaid.</x:v>
      </x:c>
      <x:c r="J28" s="111" t="n">
        <x:v>200</x:v>
      </x:c>
      <x:c r="K28" s="96" t="str">
        <x:v>HTTP 200; depositpaid остаётся false; остальные значения сохранены без искажения.</x:v>
      </x:c>
      <x:c r="L28" s="96" t="str">
        <x:v>[BOOK-POST-002] Создание брони в XML с depositpaid=false</x:v>
      </x:c>
      <x:c r="M28" s="114" t="str">
        <x:v>Да</x:v>
      </x:c>
      <x:c r="N28" s="114" t="str">
        <x:v>Провален</x:v>
      </x:c>
      <x:c r="O28" s="114" t="str">
        <x:v>200; depositpaid изменён с false на true.</x:v>
      </x:c>
      <x:c r="P28" s="117" t="str">
        <x:v>BUG-005</x:v>
      </x:c>
    </x:row>
    <x:row r="29" ht="76" customHeight="1">
      <x:c r="A29" s="113" t="str">
        <x:v>BOOK-POST-003</x:v>
      </x:c>
      <x:c r="B29" s="114" t="str">
        <x:v>/booking</x:v>
      </x:c>
      <x:c r="C29" s="114" t="str">
        <x:v>POST</x:v>
      </x:c>
      <x:c r="D29" s="114" t="str">
        <x:v>Позитивный</x:v>
      </x:c>
      <x:c r="E29" s="114" t="str">
        <x:v>P1</x:v>
      </x:c>
      <x:c r="F29" s="96" t="str">
        <x:v>Граничные значения totalprice=0 и depositpaid=false</x:v>
      </x:c>
      <x:c r="G29" s="96" t="str">
        <x:v>Сервис доступен; baseUrl задан в окружении Postman.</x:v>
      </x:c>
      <x:c r="H29" s="96" t="str">
        <x:v>totalprice=0; depositpaid=false</x:v>
      </x:c>
      <x:c r="I29" s="96" t="str">
        <x:v>1. Отправить валидный JSON с граничными значениями.
2. Проверить сохранённые типы и значения.</x:v>
      </x:c>
      <x:c r="J29" s="111" t="n">
        <x:v>200</x:v>
      </x:c>
      <x:c r="K29" s="96" t="str">
        <x:v>HTTP 200; totalprice строго 0; depositpaid строго false.</x:v>
      </x:c>
      <x:c r="L29" s="96" t="str">
        <x:v>[BOOK-POST-003] Граничные значения totalprice=0 и depositpaid=false</x:v>
      </x:c>
      <x:c r="M29" s="114" t="str">
        <x:v>Да</x:v>
      </x:c>
      <x:c r="N29" s="114" t="str">
        <x:v>Пройден</x:v>
      </x:c>
      <x:c r="O29" s="114" t="str">
        <x:v>200; оба граничных значения сохранены без изменения.</x:v>
      </x:c>
      <x:c r="P29" s="117" t="str"/>
    </x:row>
    <x:row r="30" ht="76" customHeight="1">
      <x:c r="A30" s="113" t="str">
        <x:v>BOOK-POST-004</x:v>
      </x:c>
      <x:c r="B30" s="114" t="str">
        <x:v>/booking</x:v>
      </x:c>
      <x:c r="C30" s="114" t="str">
        <x:v>POST</x:v>
      </x:c>
      <x:c r="D30" s="114" t="str">
        <x:v>Негативный</x:v>
      </x:c>
      <x:c r="E30" s="114" t="str">
        <x:v>P0</x:v>
      </x:c>
      <x:c r="F30" s="96" t="str">
        <x:v>Отсутствует обязательный firstname</x:v>
      </x:c>
      <x:c r="G30" s="96" t="str">
        <x:v>Сервис доступен; baseUrl задан в окружении Postman.</x:v>
      </x:c>
      <x:c r="H30" s="96" t="str">
        <x:v>JSON без firstname</x:v>
      </x:c>
      <x:c r="I30" s="96" t="str">
        <x:v>1. Удалить firstname из валидного payload.
2. Отправить POST.
3. Проверить валидацию.</x:v>
      </x:c>
      <x:c r="J30" s="111" t="n">
        <x:v>400</x:v>
      </x:c>
      <x:c r="K30" s="96" t="str">
        <x:v>HTTP 400; бронь не создана; указано отсутствующее поле.</x:v>
      </x:c>
      <x:c r="L30" s="96" t="str">
        <x:v>[BOOK-POST-004] Отсутствует обязательный firstname</x:v>
      </x:c>
      <x:c r="M30" s="114" t="str">
        <x:v>Да</x:v>
      </x:c>
      <x:c r="N30" s="114" t="str">
        <x:v>Провален</x:v>
      </x:c>
      <x:c r="O30" s="114" t="str">
        <x:v>500 Internal Server Error.</x:v>
      </x:c>
      <x:c r="P30" s="117" t="str">
        <x:v>BUG-002</x:v>
      </x:c>
    </x:row>
    <x:row r="31" ht="76" customHeight="1">
      <x:c r="A31" s="113" t="str">
        <x:v>BOOK-POST-005</x:v>
      </x:c>
      <x:c r="B31" s="114" t="str">
        <x:v>/booking</x:v>
      </x:c>
      <x:c r="C31" s="114" t="str">
        <x:v>POST</x:v>
      </x:c>
      <x:c r="D31" s="114" t="str">
        <x:v>Негативный</x:v>
      </x:c>
      <x:c r="E31" s="114" t="str">
        <x:v>P0</x:v>
      </x:c>
      <x:c r="F31" s="96" t="str">
        <x:v>Отсутствует bookingdates.checkout</x:v>
      </x:c>
      <x:c r="G31" s="96" t="str">
        <x:v>Сервис доступен; baseUrl задан в окружении Postman.</x:v>
      </x:c>
      <x:c r="H31" s="96" t="str">
        <x:v>JSON без bookingdates.checkout</x:v>
      </x:c>
      <x:c r="I31" s="96" t="str">
        <x:v>1. Удалить checkout.
2. Отправить POST.
3. Проверить валидацию.</x:v>
      </x:c>
      <x:c r="J31" s="111" t="n">
        <x:v>400</x:v>
      </x:c>
      <x:c r="K31" s="96" t="str">
        <x:v>HTTP 400; бронь не создана.</x:v>
      </x:c>
      <x:c r="L31" s="96" t="str">
        <x:v>[BOOK-POST-005] Отсутствует bookingdates.checkout</x:v>
      </x:c>
      <x:c r="M31" s="114" t="str">
        <x:v>Да</x:v>
      </x:c>
      <x:c r="N31" s="114" t="str">
        <x:v>Провален</x:v>
      </x:c>
      <x:c r="O31" s="114" t="str">
        <x:v>500 Internal Server Error.</x:v>
      </x:c>
      <x:c r="P31" s="117" t="str">
        <x:v>BUG-002</x:v>
      </x:c>
    </x:row>
    <x:row r="32" ht="76" customHeight="1">
      <x:c r="A32" s="113" t="str">
        <x:v>BOOK-POST-006</x:v>
      </x:c>
      <x:c r="B32" s="114" t="str">
        <x:v>/booking</x:v>
      </x:c>
      <x:c r="C32" s="114" t="str">
        <x:v>POST</x:v>
      </x:c>
      <x:c r="D32" s="114" t="str">
        <x:v>Негативный</x:v>
      </x:c>
      <x:c r="E32" s="114" t="str">
        <x:v>P1</x:v>
      </x:c>
      <x:c r="F32" s="96" t="str">
        <x:v>Отсутствует обязательный additionalneeds</x:v>
      </x:c>
      <x:c r="G32" s="96" t="str">
        <x:v>Сервис доступен; baseUrl задан в окружении Postman.</x:v>
      </x:c>
      <x:c r="H32" s="96" t="str">
        <x:v>JSON без additionalneeds</x:v>
      </x:c>
      <x:c r="I32" s="96" t="str">
        <x:v>1. Удалить additionalneeds.
2. Отправить POST.
3. Проверить отсутствие bookingid.</x:v>
      </x:c>
      <x:c r="J32" s="111" t="n">
        <x:v>400</x:v>
      </x:c>
      <x:c r="K32" s="96" t="str">
        <x:v>HTTP 400; бронь не создана.</x:v>
      </x:c>
      <x:c r="L32" s="96" t="str">
        <x:v>[BOOK-POST-006] Отсутствует обязательный additionalneeds</x:v>
      </x:c>
      <x:c r="M32" s="114" t="str">
        <x:v>Да</x:v>
      </x:c>
      <x:c r="N32" s="114" t="str">
        <x:v>Провален</x:v>
      </x:c>
      <x:c r="O32" s="114" t="str">
        <x:v>200; бронь создана без additionalneeds.</x:v>
      </x:c>
      <x:c r="P32" s="117" t="str">
        <x:v>BUG-003</x:v>
      </x:c>
    </x:row>
    <x:row r="33" ht="76" customHeight="1">
      <x:c r="A33" s="113" t="str">
        <x:v>BOOK-POST-007</x:v>
      </x:c>
      <x:c r="B33" s="114" t="str">
        <x:v>/booking</x:v>
      </x:c>
      <x:c r="C33" s="114" t="str">
        <x:v>POST</x:v>
      </x:c>
      <x:c r="D33" s="114" t="str">
        <x:v>Негативный</x:v>
      </x:c>
      <x:c r="E33" s="114" t="str">
        <x:v>P1</x:v>
      </x:c>
      <x:c r="F33" s="96" t="str">
        <x:v>Пустой firstname</x:v>
      </x:c>
      <x:c r="G33" s="96" t="str">
        <x:v>Сервис доступен; baseUrl задан в окружении Postman.</x:v>
      </x:c>
      <x:c r="H33" s="96" t="str">
        <x:v>firstname=""</x:v>
      </x:c>
      <x:c r="I33" s="96" t="str">
        <x:v>1. Передать пустую строку в обязательном поле.
2. Отправить POST.
3. Проверить валидацию.</x:v>
      </x:c>
      <x:c r="J33" s="111" t="n">
        <x:v>400</x:v>
      </x:c>
      <x:c r="K33" s="96" t="str">
        <x:v>HTTP 400; бронь не создана.</x:v>
      </x:c>
      <x:c r="L33" s="96" t="str">
        <x:v>[BOOK-POST-007] Пустой firstname</x:v>
      </x:c>
      <x:c r="M33" s="114" t="str">
        <x:v>Да</x:v>
      </x:c>
      <x:c r="N33" s="114" t="str">
        <x:v>Провален</x:v>
      </x:c>
      <x:c r="O33" s="114" t="str">
        <x:v>200; бронь с пустым firstname создана.</x:v>
      </x:c>
      <x:c r="P33" s="117" t="str">
        <x:v>BUG-003</x:v>
      </x:c>
    </x:row>
    <x:row r="34" ht="76" customHeight="1">
      <x:c r="A34" s="113" t="str">
        <x:v>BOOK-POST-008</x:v>
      </x:c>
      <x:c r="B34" s="114" t="str">
        <x:v>/booking</x:v>
      </x:c>
      <x:c r="C34" s="114" t="str">
        <x:v>POST</x:v>
      </x:c>
      <x:c r="D34" s="114" t="str">
        <x:v>Негативный</x:v>
      </x:c>
      <x:c r="E34" s="114" t="str">
        <x:v>P0</x:v>
      </x:c>
      <x:c r="F34" s="96" t="str">
        <x:v>Неверные типы totalprice и depositpaid</x:v>
      </x:c>
      <x:c r="G34" s="96" t="str">
        <x:v>Сервис доступен; baseUrl задан в окружении Postman.</x:v>
      </x:c>
      <x:c r="H34" s="96" t="str">
        <x:v>totalprice="three hundred"; depositpaid="yes"</x:v>
      </x:c>
      <x:c r="I34" s="96" t="str">
        <x:v>1. Подменить типы двух полей.
2. Отправить POST.
3. Проверить отказ без преобразования данных.</x:v>
      </x:c>
      <x:c r="J34" s="111" t="n">
        <x:v>400</x:v>
      </x:c>
      <x:c r="K34" s="96" t="str">
        <x:v>HTTP 400; запись не создана; поля с ошибкой перечислены.</x:v>
      </x:c>
      <x:c r="L34" s="96" t="str">
        <x:v>[BOOK-POST-008] Неверные типы totalprice и depositpaid</x:v>
      </x:c>
      <x:c r="M34" s="114" t="str">
        <x:v>Да</x:v>
      </x:c>
      <x:c r="N34" s="114" t="str">
        <x:v>Провален</x:v>
      </x:c>
      <x:c r="O34" s="114" t="str">
        <x:v>200; totalprice преобразован в null, depositpaid — в true.</x:v>
      </x:c>
      <x:c r="P34" s="117" t="str">
        <x:v>BUG-004</x:v>
      </x:c>
    </x:row>
    <x:row r="35" ht="76" customHeight="1">
      <x:c r="A35" s="113" t="str">
        <x:v>BOOK-POST-009</x:v>
      </x:c>
      <x:c r="B35" s="114" t="str">
        <x:v>/booking</x:v>
      </x:c>
      <x:c r="C35" s="114" t="str">
        <x:v>POST</x:v>
      </x:c>
      <x:c r="D35" s="114" t="str">
        <x:v>Негативный</x:v>
      </x:c>
      <x:c r="E35" s="114" t="str">
        <x:v>P0</x:v>
      </x:c>
      <x:c r="F35" s="96" t="str">
        <x:v>Невалидная дата checkin</x:v>
      </x:c>
      <x:c r="G35" s="96" t="str">
        <x:v>Сервис доступен; baseUrl задан в окружении Postman.</x:v>
      </x:c>
      <x:c r="H35" s="96" t="str">
        <x:v>bookingdates.checkin="not-a-date"</x:v>
      </x:c>
      <x:c r="I35" s="96" t="str">
        <x:v>1. Передать невалидную дату.
2. Отправить POST.
3. Проверить отказ и отсутствие записи.</x:v>
      </x:c>
      <x:c r="J35" s="111" t="n">
        <x:v>400</x:v>
      </x:c>
      <x:c r="K35" s="96" t="str">
        <x:v>HTTP 400; бронь не создана.</x:v>
      </x:c>
      <x:c r="L35" s="96" t="str">
        <x:v>[BOOK-POST-009] Невалидная дата checkin</x:v>
      </x:c>
      <x:c r="M35" s="114" t="str">
        <x:v>Да</x:v>
      </x:c>
      <x:c r="N35" s="114" t="str">
        <x:v>Провален</x:v>
      </x:c>
      <x:c r="O35" s="114" t="str">
        <x:v>200; создана запись с checkin="0NaN-aN-aN".</x:v>
      </x:c>
      <x:c r="P35" s="117" t="str">
        <x:v>BUG-004</x:v>
      </x:c>
    </x:row>
    <x:row r="36" ht="76" customHeight="1">
      <x:c r="A36" s="113" t="str">
        <x:v>BOOK-POST-010</x:v>
      </x:c>
      <x:c r="B36" s="114" t="str">
        <x:v>/booking</x:v>
      </x:c>
      <x:c r="C36" s="114" t="str">
        <x:v>POST</x:v>
      </x:c>
      <x:c r="D36" s="114" t="str">
        <x:v>Негативный</x:v>
      </x:c>
      <x:c r="E36" s="114" t="str">
        <x:v>P1</x:v>
      </x:c>
      <x:c r="F36" s="96" t="str">
        <x:v>checkout раньше checkin</x:v>
      </x:c>
      <x:c r="G36" s="96" t="str">
        <x:v>Сервис доступен; baseUrl задан в окружении Postman.</x:v>
      </x:c>
      <x:c r="H36" s="96" t="str">
        <x:v>checkin=2030-06-20; checkout=2030-06-15</x:v>
      </x:c>
      <x:c r="I36" s="96" t="str">
        <x:v>1. Передать обратный диапазон дат.
2. Отправить POST.
3. Проверить бизнес-валидацию.</x:v>
      </x:c>
      <x:c r="J36" s="111" t="n">
        <x:v>400</x:v>
      </x:c>
      <x:c r="K36" s="96" t="str">
        <x:v>HTTP 400; бронь не создана; checkout должен быть позже checkin.</x:v>
      </x:c>
      <x:c r="L36" s="96" t="str">
        <x:v>[BOOK-POST-010] checkout раньше checkin</x:v>
      </x:c>
      <x:c r="M36" s="114" t="str">
        <x:v>Да</x:v>
      </x:c>
      <x:c r="N36" s="114" t="str">
        <x:v>Провален</x:v>
      </x:c>
      <x:c r="O36" s="114" t="str">
        <x:v>200; логически неверный диапазон сохранён.</x:v>
      </x:c>
      <x:c r="P36" s="117" t="str">
        <x:v>BUG-004</x:v>
      </x:c>
    </x:row>
    <x:row r="37" ht="76" customHeight="1">
      <x:c r="A37" s="113" t="str">
        <x:v>BOOK-POST-011</x:v>
      </x:c>
      <x:c r="B37" s="114" t="str">
        <x:v>/booking</x:v>
      </x:c>
      <x:c r="C37" s="114" t="str">
        <x:v>POST</x:v>
      </x:c>
      <x:c r="D37" s="114" t="str">
        <x:v>Негативный</x:v>
      </x:c>
      <x:c r="E37" s="114" t="str">
        <x:v>P0</x:v>
      </x:c>
      <x:c r="F37" s="96" t="str">
        <x:v>Невалидный JSON</x:v>
      </x:c>
      <x:c r="G37" s="96" t="str">
        <x:v>Сервис доступен; baseUrl задан в окружении Postman.</x:v>
      </x:c>
      <x:c r="H37" s="96" t="str">
        <x:v>{"firstname":"Broken",</x:v>
      </x:c>
      <x:c r="I37" s="96" t="str">
        <x:v>1. Отправить синтаксически невалидный JSON.
2. Проверить код ответа.</x:v>
      </x:c>
      <x:c r="J37" s="111" t="n">
        <x:v>400</x:v>
      </x:c>
      <x:c r="K37" s="96" t="str">
        <x:v>HTTP 400; бронь не создана.</x:v>
      </x:c>
      <x:c r="L37" s="96" t="str">
        <x:v>[BOOK-POST-011] Невалидный JSON</x:v>
      </x:c>
      <x:c r="M37" s="114" t="str">
        <x:v>Да</x:v>
      </x:c>
      <x:c r="N37" s="114" t="str">
        <x:v>Пройден</x:v>
      </x:c>
      <x:c r="O37" s="114" t="str">
        <x:v>400 Bad Request.</x:v>
      </x:c>
      <x:c r="P37" s="117" t="str"/>
    </x:row>
    <x:row r="38" ht="76" customHeight="1">
      <x:c r="A38" s="113" t="str">
        <x:v>BOOK-POST-012</x:v>
      </x:c>
      <x:c r="B38" s="114" t="str">
        <x:v>/booking</x:v>
      </x:c>
      <x:c r="C38" s="114" t="str">
        <x:v>POST</x:v>
      </x:c>
      <x:c r="D38" s="114" t="str">
        <x:v>Негативный</x:v>
      </x:c>
      <x:c r="E38" s="114" t="str">
        <x:v>P1</x:v>
      </x:c>
      <x:c r="F38" s="96" t="str">
        <x:v>Неподдерживаемый Accept</x:v>
      </x:c>
      <x:c r="G38" s="96" t="str">
        <x:v>Сервис доступен; baseUrl задан в окружении Postman.</x:v>
      </x:c>
      <x:c r="H38" s="96" t="str">
        <x:v>Accept=application/pdf; валидный JSON</x:v>
      </x:c>
      <x:c r="I38" s="96" t="str">
        <x:v>1. Отправить валидную бронь с неподдерживаемым Accept.
2. Проверить отказ формата.</x:v>
      </x:c>
      <x:c r="J38" s="111" t="n">
        <x:v>406</x:v>
      </x:c>
      <x:c r="K38" s="96" t="str">
        <x:v>HTTP 406 Not Acceptable; ответ не маскируется нестандартным кодом.</x:v>
      </x:c>
      <x:c r="L38" s="96" t="str">
        <x:v>[BOOK-POST-012] Неподдерживаемый Accept</x:v>
      </x:c>
      <x:c r="M38" s="114" t="str">
        <x:v>Да</x:v>
      </x:c>
      <x:c r="N38" s="114" t="str">
        <x:v>Провален</x:v>
      </x:c>
      <x:c r="O38" s="114" t="str">
        <x:v>418 I'm a Teapot; запись при этом создаётся.</x:v>
      </x:c>
      <x:c r="P38" s="117" t="str">
        <x:v>BUG-007</x:v>
      </x:c>
    </x:row>
    <x:row r="39" ht="76" customHeight="1">
      <x:c r="A39" s="113" t="str">
        <x:v>BOOK-POST-013</x:v>
      </x:c>
      <x:c r="B39" s="114" t="str">
        <x:v>/booking</x:v>
      </x:c>
      <x:c r="C39" s="114" t="str">
        <x:v>POST</x:v>
      </x:c>
      <x:c r="D39" s="114" t="str">
        <x:v>Негативный</x:v>
      </x:c>
      <x:c r="E39" s="114" t="str">
        <x:v>P1</x:v>
      </x:c>
      <x:c r="F39" s="96" t="str">
        <x:v>Неподдерживаемый Content-Type</x:v>
      </x:c>
      <x:c r="G39" s="96" t="str">
        <x:v>Сервис доступен; baseUrl задан в окружении Postman.</x:v>
      </x:c>
      <x:c r="H39" s="96" t="str">
        <x:v>Content-Type=text/plain; в теле JSON-текст</x:v>
      </x:c>
      <x:c r="I39" s="96" t="str">
        <x:v>1. Отправить JSON-текст как text/plain.
2. Проверить отказ media type.</x:v>
      </x:c>
      <x:c r="J39" s="111" t="n">
        <x:v>415</x:v>
      </x:c>
      <x:c r="K39" s="96" t="str">
        <x:v>HTTP 415 Unsupported Media Type; бронь не создана.</x:v>
      </x:c>
      <x:c r="L39" s="96" t="str">
        <x:v>[BOOK-POST-013] Неподдерживаемый Content-Type</x:v>
      </x:c>
      <x:c r="M39" s="114" t="str">
        <x:v>Да</x:v>
      </x:c>
      <x:c r="N39" s="114" t="str">
        <x:v>Провален</x:v>
      </x:c>
      <x:c r="O39" s="114" t="str">
        <x:v>500 Internal Server Error.</x:v>
      </x:c>
      <x:c r="P39" s="117" t="str">
        <x:v>BUG-002</x:v>
      </x:c>
    </x:row>
    <x:row r="40" ht="76" customHeight="1">
      <x:c r="A40" s="113" t="str">
        <x:v>BOOK-PUT-001</x:v>
      </x:c>
      <x:c r="B40" s="114" t="str">
        <x:v>/booking/:id</x:v>
      </x:c>
      <x:c r="C40" s="114" t="str">
        <x:v>PUT</x:v>
      </x:c>
      <x:c r="D40" s="114" t="str">
        <x:v>Позитивный</x:v>
      </x:c>
      <x:c r="E40" s="114" t="str">
        <x:v>P0</x:v>
      </x:c>
      <x:c r="F40" s="96" t="str">
        <x:v>Полная замена брони по token cookie</x:v>
      </x:c>
      <x:c r="G40" s="96" t="str">
        <x:v>Выполнен [SETUP] Create PUT fixtures; putBookingId и putValidationBookingId сохранены; token получен.</x:v>
      </x:c>
      <x:c r="H40" s="96" t="str">
        <x:v>Полный валидный JSON; Cookie=token={{token}}</x:v>
      </x:c>
      <x:c r="I40" s="96" t="str">
        <x:v>1. Отправить PUT по putBookingId.
2. Проверить полный JSON-ответ.</x:v>
      </x:c>
      <x:c r="J40" s="111" t="n">
        <x:v>200</x:v>
      </x:c>
      <x:c r="K40" s="96" t="str">
        <x:v>HTTP 200; все поля равны новому payload.</x:v>
      </x:c>
      <x:c r="L40" s="96" t="str">
        <x:v>[BOOK-PUT-001] Полная замена брони по token cookie</x:v>
      </x:c>
      <x:c r="M40" s="114" t="str">
        <x:v>Да</x:v>
      </x:c>
      <x:c r="N40" s="114" t="str">
        <x:v>Пройден</x:v>
      </x:c>
      <x:c r="O40" s="114" t="str">
        <x:v>200; данные обновлены.</x:v>
      </x:c>
      <x:c r="P40" s="117" t="str"/>
    </x:row>
    <x:row r="41" ht="76" customHeight="1">
      <x:c r="A41" s="113" t="str">
        <x:v>BOOK-PUT-002</x:v>
      </x:c>
      <x:c r="B41" s="114" t="str">
        <x:v>/booking/:id</x:v>
      </x:c>
      <x:c r="C41" s="114" t="str">
        <x:v>GET</x:v>
      </x:c>
      <x:c r="D41" s="114" t="str">
        <x:v>Позитивный</x:v>
      </x:c>
      <x:c r="E41" s="114" t="str">
        <x:v>P0</x:v>
      </x:c>
      <x:c r="F41" s="96" t="str">
        <x:v>Проверка сохранения результата PUT</x:v>
      </x:c>
      <x:c r="G41" s="96" t="str">
        <x:v>Выполнен [SETUP] Create PUT fixtures; putBookingId и putValidationBookingId сохранены; token получен.</x:v>
      </x:c>
      <x:c r="H41" s="96" t="str">
        <x:v>id={{putBookingId}}</x:v>
      </x:c>
      <x:c r="I41" s="96" t="str">
        <x:v>1. После PUT выполнить GET.
2. Сравнить все поля с payload PUT.</x:v>
      </x:c>
      <x:c r="J41" s="111" t="n">
        <x:v>200</x:v>
      </x:c>
      <x:c r="K41" s="96" t="str">
        <x:v>HTTP 200; изменения сохранены.</x:v>
      </x:c>
      <x:c r="L41" s="96" t="str">
        <x:v>[BOOK-PUT-002] Проверка сохранения результата PUT</x:v>
      </x:c>
      <x:c r="M41" s="114" t="str">
        <x:v>Да</x:v>
      </x:c>
      <x:c r="N41" s="114" t="str">
        <x:v>Пройден</x:v>
      </x:c>
      <x:c r="O41" s="114" t="str">
        <x:v>200; изменения подтверждены GET.</x:v>
      </x:c>
      <x:c r="P41" s="117" t="str"/>
    </x:row>
    <x:row r="42" ht="76" customHeight="1">
      <x:c r="A42" s="113" t="str">
        <x:v>BOOK-PUT-003</x:v>
      </x:c>
      <x:c r="B42" s="114" t="str">
        <x:v>/booking/:id</x:v>
      </x:c>
      <x:c r="C42" s="114" t="str">
        <x:v>PUT</x:v>
      </x:c>
      <x:c r="D42" s="114" t="str">
        <x:v>Позитивный</x:v>
      </x:c>
      <x:c r="E42" s="114" t="str">
        <x:v>P1</x:v>
      </x:c>
      <x:c r="F42" s="96" t="str">
        <x:v>Полная замена по Basic Auth</x:v>
      </x:c>
      <x:c r="G42" s="96" t="str">
        <x:v>Выполнен [SETUP] Create PUT fixtures; putBookingId и putValidationBookingId сохранены; token получен.</x:v>
      </x:c>
      <x:c r="H42" s="96" t="str">
        <x:v>Authorization=Basic YWRtaW46cGFzc3dvcmQxMjM=</x:v>
      </x:c>
      <x:c r="I42" s="96" t="str">
        <x:v>1. Отправить полный PUT с Basic Auth.
2. Проверить обновление.</x:v>
      </x:c>
      <x:c r="J42" s="111" t="n">
        <x:v>200</x:v>
      </x:c>
      <x:c r="K42" s="96" t="str">
        <x:v>HTTP 200; запись обновлена без cookie token.</x:v>
      </x:c>
      <x:c r="L42" s="96" t="str">
        <x:v>[BOOK-PUT-003] Полная замена по Basic Auth</x:v>
      </x:c>
      <x:c r="M42" s="114" t="str">
        <x:v>Да</x:v>
      </x:c>
      <x:c r="N42" s="114" t="str">
        <x:v>Пройден</x:v>
      </x:c>
      <x:c r="O42" s="114" t="str">
        <x:v>200; Basic Auth принят, обновление выполнено.</x:v>
      </x:c>
      <x:c r="P42" s="117" t="str"/>
    </x:row>
    <x:row r="43" ht="76" customHeight="1">
      <x:c r="A43" s="113" t="str">
        <x:v>BOOK-PUT-004</x:v>
      </x:c>
      <x:c r="B43" s="114" t="str">
        <x:v>/booking/:id</x:v>
      </x:c>
      <x:c r="C43" s="114" t="str">
        <x:v>PUT</x:v>
      </x:c>
      <x:c r="D43" s="114" t="str">
        <x:v>Негативный</x:v>
      </x:c>
      <x:c r="E43" s="114" t="str">
        <x:v>P0</x:v>
      </x:c>
      <x:c r="F43" s="96" t="str">
        <x:v>PUT без авторизации</x:v>
      </x:c>
      <x:c r="G43" s="96" t="str">
        <x:v>Выполнен [SETUP] Create PUT fixtures; putBookingId и putValidationBookingId сохранены; token получен.</x:v>
      </x:c>
      <x:c r="H43" s="96" t="str">
        <x:v>Заголовки Cookie/Authorization отсутствуют</x:v>
      </x:c>
      <x:c r="I43" s="96" t="str">
        <x:v>1. Отправить валидный PUT без авторизации.
2. Проверить отказ.</x:v>
      </x:c>
      <x:c r="J43" s="111" t="n">
        <x:v>403</x:v>
      </x:c>
      <x:c r="K43" s="96" t="str">
        <x:v>HTTP 403 Forbidden; данные не изменены.</x:v>
      </x:c>
      <x:c r="L43" s="96" t="str">
        <x:v>[BOOK-PUT-004] PUT без авторизации</x:v>
      </x:c>
      <x:c r="M43" s="114" t="str">
        <x:v>Да</x:v>
      </x:c>
      <x:c r="N43" s="114" t="str">
        <x:v>Пройден</x:v>
      </x:c>
      <x:c r="O43" s="114" t="str">
        <x:v>403 Forbidden.</x:v>
      </x:c>
      <x:c r="P43" s="117" t="str"/>
    </x:row>
    <x:row r="44" ht="76" customHeight="1">
      <x:c r="A44" s="113" t="str">
        <x:v>BOOK-PUT-005</x:v>
      </x:c>
      <x:c r="B44" s="114" t="str">
        <x:v>/booking/:id</x:v>
      </x:c>
      <x:c r="C44" s="114" t="str">
        <x:v>PUT</x:v>
      </x:c>
      <x:c r="D44" s="114" t="str">
        <x:v>Негативный</x:v>
      </x:c>
      <x:c r="E44" s="114" t="str">
        <x:v>P0</x:v>
      </x:c>
      <x:c r="F44" s="96" t="str">
        <x:v>PUT с невалидным token</x:v>
      </x:c>
      <x:c r="G44" s="96" t="str">
        <x:v>Выполнен [SETUP] Create PUT fixtures; putBookingId и putValidationBookingId сохранены; token получен.</x:v>
      </x:c>
      <x:c r="H44" s="96" t="str">
        <x:v>Cookie=token=invalid</x:v>
      </x:c>
      <x:c r="I44" s="96" t="str">
        <x:v>1. Отправить PUT с невалидным token.
2. Проверить отказ.</x:v>
      </x:c>
      <x:c r="J44" s="111" t="n">
        <x:v>403</x:v>
      </x:c>
      <x:c r="K44" s="96" t="str">
        <x:v>HTTP 403 Forbidden; данные не изменены.</x:v>
      </x:c>
      <x:c r="L44" s="96" t="str">
        <x:v>[BOOK-PUT-005] PUT с невалидным token</x:v>
      </x:c>
      <x:c r="M44" s="114" t="str">
        <x:v>Да</x:v>
      </x:c>
      <x:c r="N44" s="114" t="str">
        <x:v>Пройден</x:v>
      </x:c>
      <x:c r="O44" s="114" t="str">
        <x:v>403 Forbidden.</x:v>
      </x:c>
      <x:c r="P44" s="117" t="str"/>
    </x:row>
    <x:row r="45" ht="76" customHeight="1">
      <x:c r="A45" s="113" t="str">
        <x:v>BOOK-PUT-006</x:v>
      </x:c>
      <x:c r="B45" s="114" t="str">
        <x:v>/booking/:id</x:v>
      </x:c>
      <x:c r="C45" s="114" t="str">
        <x:v>PUT</x:v>
      </x:c>
      <x:c r="D45" s="114" t="str">
        <x:v>Негативный</x:v>
      </x:c>
      <x:c r="E45" s="114" t="str">
        <x:v>P1</x:v>
      </x:c>
      <x:c r="F45" s="96" t="str">
        <x:v>PUT без обязательного lastname</x:v>
      </x:c>
      <x:c r="G45" s="96" t="str">
        <x:v>Выполнен [SETUP] Create PUT fixtures; putBookingId и putValidationBookingId сохранены; token получен.</x:v>
      </x:c>
      <x:c r="H45" s="96" t="str">
        <x:v>Полный payload без lastname</x:v>
      </x:c>
      <x:c r="I45" s="96" t="str">
        <x:v>1. Удалить lastname.
2. Отправить авторизованный PUT.
3. Проверить валидацию.</x:v>
      </x:c>
      <x:c r="J45" s="111" t="n">
        <x:v>400</x:v>
      </x:c>
      <x:c r="K45" s="96" t="str">
        <x:v>HTTP 400; исходная запись не изменена.</x:v>
      </x:c>
      <x:c r="L45" s="96" t="str">
        <x:v>[BOOK-PUT-006] PUT без обязательного lastname</x:v>
      </x:c>
      <x:c r="M45" s="114" t="str">
        <x:v>Да</x:v>
      </x:c>
      <x:c r="N45" s="114" t="str">
        <x:v>Пройден</x:v>
      </x:c>
      <x:c r="O45" s="114" t="str">
        <x:v>400 Bad Request.</x:v>
      </x:c>
      <x:c r="P45" s="117" t="str"/>
    </x:row>
    <x:row r="46" ht="76" customHeight="1">
      <x:c r="A46" s="113" t="str">
        <x:v>BOOK-PUT-007</x:v>
      </x:c>
      <x:c r="B46" s="114" t="str">
        <x:v>/booking/:id</x:v>
      </x:c>
      <x:c r="C46" s="114" t="str">
        <x:v>PUT</x:v>
      </x:c>
      <x:c r="D46" s="114" t="str">
        <x:v>Негативный</x:v>
      </x:c>
      <x:c r="E46" s="114" t="str">
        <x:v>P0</x:v>
      </x:c>
      <x:c r="F46" s="96" t="str">
        <x:v>PUT с неверными типами</x:v>
      </x:c>
      <x:c r="G46" s="96" t="str">
        <x:v>Выполнен [SETUP] Create PUT fixtures; putBookingId и putValidationBookingId сохранены; token получен.</x:v>
      </x:c>
      <x:c r="H46" s="96" t="str">
        <x:v>totalprice="invalid"; depositpaid=1</x:v>
      </x:c>
      <x:c r="I46" s="96" t="str">
        <x:v>1. Передать неверные типы.
2. Отправить авторизованный PUT.
3. Проверить отказ.</x:v>
      </x:c>
      <x:c r="J46" s="111" t="n">
        <x:v>400</x:v>
      </x:c>
      <x:c r="K46" s="96" t="str">
        <x:v>HTTP 400; данные не изменены.</x:v>
      </x:c>
      <x:c r="L46" s="96" t="str">
        <x:v>[BOOK-PUT-007] PUT с неверными типами</x:v>
      </x:c>
      <x:c r="M46" s="114" t="str">
        <x:v>Да</x:v>
      </x:c>
      <x:c r="N46" s="114" t="str">
        <x:v>Провален</x:v>
      </x:c>
      <x:c r="O46" s="114" t="str">
        <x:v>200; totalprice стал null, depositpaid — true.</x:v>
      </x:c>
      <x:c r="P46" s="117" t="str">
        <x:v>BUG-004</x:v>
      </x:c>
    </x:row>
    <x:row r="47" ht="76" customHeight="1">
      <x:c r="A47" s="113" t="str">
        <x:v>BOOK-PUT-008</x:v>
      </x:c>
      <x:c r="B47" s="114" t="str">
        <x:v>/booking/:id</x:v>
      </x:c>
      <x:c r="C47" s="114" t="str">
        <x:v>PUT</x:v>
      </x:c>
      <x:c r="D47" s="114" t="str">
        <x:v>Негативный</x:v>
      </x:c>
      <x:c r="E47" s="114" t="str">
        <x:v>P1</x:v>
      </x:c>
      <x:c r="F47" s="96" t="str">
        <x:v>PUT несуществующей брони</x:v>
      </x:c>
      <x:c r="G47" s="96" t="str">
        <x:v>Выполнен AUTH-001; валидный token сохранён в переменную коллекции.</x:v>
      </x:c>
      <x:c r="H47" s="96" t="str">
        <x:v>id=999999999; полный валидный JSON</x:v>
      </x:c>
      <x:c r="I47" s="96" t="str">
        <x:v>1. Отправить авторизованный PUT по отсутствующему ID.
2. Проверить код.</x:v>
      </x:c>
      <x:c r="J47" s="111" t="n">
        <x:v>404</x:v>
      </x:c>
      <x:c r="K47" s="96" t="str">
        <x:v>HTTP 404 Not Found.</x:v>
      </x:c>
      <x:c r="L47" s="96" t="str">
        <x:v>[BOOK-PUT-008] PUT несуществующей брони</x:v>
      </x:c>
      <x:c r="M47" s="114" t="str">
        <x:v>Да</x:v>
      </x:c>
      <x:c r="N47" s="114" t="str">
        <x:v>Провален</x:v>
      </x:c>
      <x:c r="O47" s="114" t="str">
        <x:v>405 Method Not Allowed.</x:v>
      </x:c>
      <x:c r="P47" s="117" t="str">
        <x:v>BUG-009</x:v>
      </x:c>
    </x:row>
    <x:row r="48" ht="76" customHeight="1">
      <x:c r="A48" s="113" t="str">
        <x:v>BOOK-PATCH-001</x:v>
      </x:c>
      <x:c r="B48" s="114" t="str">
        <x:v>/booking/:id</x:v>
      </x:c>
      <x:c r="C48" s="114" t="str">
        <x:v>PATCH</x:v>
      </x:c>
      <x:c r="D48" s="114" t="str">
        <x:v>Позитивный</x:v>
      </x:c>
      <x:c r="E48" s="114" t="str">
        <x:v>P0</x:v>
      </x:c>
      <x:c r="F48" s="96" t="str">
        <x:v>Частичное изменение firstname по token</x:v>
      </x:c>
      <x:c r="G48" s="96" t="str">
        <x:v>Выполнен [SETUP] Create PATCH fixtures; patchBookingId и patchValidationBookingId сохранены; token получен.</x:v>
      </x:c>
      <x:c r="H48" s="96" t="str">
        <x:v>{firstname: {{patchedFirstName}}}</x:v>
      </x:c>
      <x:c r="I48" s="96" t="str">
        <x:v>1. Отправить PATCH одного поля.
2. Проверить изменённое и сохранённые поля.</x:v>
      </x:c>
      <x:c r="J48" s="111" t="n">
        <x:v>200</x:v>
      </x:c>
      <x:c r="K48" s="96" t="str">
        <x:v>HTTP 200; firstname изменён; остальные поля не изменены.</x:v>
      </x:c>
      <x:c r="L48" s="96" t="str">
        <x:v>[BOOK-PATCH-001] Частичное изменение firstname по token</x:v>
      </x:c>
      <x:c r="M48" s="114" t="str">
        <x:v>Да</x:v>
      </x:c>
      <x:c r="N48" s="114" t="str">
        <x:v>Пройден</x:v>
      </x:c>
      <x:c r="O48" s="114" t="str">
        <x:v>200; частичное обновление выполнено.</x:v>
      </x:c>
      <x:c r="P48" s="117" t="str"/>
    </x:row>
    <x:row r="49" ht="76" customHeight="1">
      <x:c r="A49" s="113" t="str">
        <x:v>BOOK-PATCH-002</x:v>
      </x:c>
      <x:c r="B49" s="114" t="str">
        <x:v>/booking/:id</x:v>
      </x:c>
      <x:c r="C49" s="114" t="str">
        <x:v>GET</x:v>
      </x:c>
      <x:c r="D49" s="114" t="str">
        <x:v>Позитивный</x:v>
      </x:c>
      <x:c r="E49" s="114" t="str">
        <x:v>P0</x:v>
      </x:c>
      <x:c r="F49" s="96" t="str">
        <x:v>Проверка сохранения PATCH</x:v>
      </x:c>
      <x:c r="G49" s="96" t="str">
        <x:v>Выполнен [SETUP] Create PATCH fixtures; patchBookingId и patchValidationBookingId сохранены; token получен.</x:v>
      </x:c>
      <x:c r="H49" s="96" t="str">
        <x:v>id={{patchBookingId}}</x:v>
      </x:c>
      <x:c r="I49" s="96" t="str">
        <x:v>1. После PATCH выполнить GET.
2. Проверить новое и неизменённые значения.</x:v>
      </x:c>
      <x:c r="J49" s="111" t="n">
        <x:v>200</x:v>
      </x:c>
      <x:c r="K49" s="96" t="str">
        <x:v>HTTP 200; изменение сохранено, непереданные поля сохранены.</x:v>
      </x:c>
      <x:c r="L49" s="96" t="str">
        <x:v>[BOOK-PATCH-002] Проверка сохранения PATCH</x:v>
      </x:c>
      <x:c r="M49" s="114" t="str">
        <x:v>Да</x:v>
      </x:c>
      <x:c r="N49" s="114" t="str">
        <x:v>Пройден</x:v>
      </x:c>
      <x:c r="O49" s="114" t="str">
        <x:v>200; PATCH подтверждён GET.</x:v>
      </x:c>
      <x:c r="P49" s="117" t="str"/>
    </x:row>
    <x:row r="50" ht="76" customHeight="1">
      <x:c r="A50" s="113" t="str">
        <x:v>BOOK-PATCH-003</x:v>
      </x:c>
      <x:c r="B50" s="114" t="str">
        <x:v>/booking/:id</x:v>
      </x:c>
      <x:c r="C50" s="114" t="str">
        <x:v>PATCH</x:v>
      </x:c>
      <x:c r="D50" s="114" t="str">
        <x:v>Позитивный</x:v>
      </x:c>
      <x:c r="E50" s="114" t="str">
        <x:v>P1</x:v>
      </x:c>
      <x:c r="F50" s="96" t="str">
        <x:v>Частичное обновление по Basic Auth</x:v>
      </x:c>
      <x:c r="G50" s="96" t="str">
        <x:v>Выполнен [SETUP] Create PATCH fixtures; patchBookingId и patchValidationBookingId сохранены; token получен.</x:v>
      </x:c>
      <x:c r="H50" s="96" t="str">
        <x:v>Authorization=Basic YWRtaW46cGFzc3dvcmQxMjM=; {lastname: BasicUpdated}</x:v>
      </x:c>
      <x:c r="I50" s="96" t="str">
        <x:v>1. Отправить PATCH с Basic Auth.
2. Проверить результат.</x:v>
      </x:c>
      <x:c r="J50" s="111" t="n">
        <x:v>200</x:v>
      </x:c>
      <x:c r="K50" s="96" t="str">
        <x:v>HTTP 200; только lastname изменён.</x:v>
      </x:c>
      <x:c r="L50" s="96" t="str">
        <x:v>[BOOK-PATCH-003] Частичное обновление по Basic Auth</x:v>
      </x:c>
      <x:c r="M50" s="114" t="str">
        <x:v>Да</x:v>
      </x:c>
      <x:c r="N50" s="114" t="str">
        <x:v>Пройден</x:v>
      </x:c>
      <x:c r="O50" s="114" t="str">
        <x:v>200; Basic Auth принят, изменён только lastname.</x:v>
      </x:c>
      <x:c r="P50" s="117" t="str"/>
    </x:row>
    <x:row r="51" ht="76" customHeight="1">
      <x:c r="A51" s="113" t="str">
        <x:v>BOOK-PATCH-004</x:v>
      </x:c>
      <x:c r="B51" s="114" t="str">
        <x:v>/booking/:id</x:v>
      </x:c>
      <x:c r="C51" s="114" t="str">
        <x:v>PATCH</x:v>
      </x:c>
      <x:c r="D51" s="114" t="str">
        <x:v>Негативный</x:v>
      </x:c>
      <x:c r="E51" s="114" t="str">
        <x:v>P0</x:v>
      </x:c>
      <x:c r="F51" s="96" t="str">
        <x:v>PATCH без авторизации</x:v>
      </x:c>
      <x:c r="G51" s="96" t="str">
        <x:v>Выполнен [SETUP] Create PATCH fixtures; patchBookingId и patchValidationBookingId сохранены; token получен.</x:v>
      </x:c>
      <x:c r="H51" s="96" t="str">
        <x:v>Авторизация отсутствует</x:v>
      </x:c>
      <x:c r="I51" s="96" t="str">
        <x:v>1. Отправить PATCH без авторизации.
2. Проверить отказ.</x:v>
      </x:c>
      <x:c r="J51" s="111" t="n">
        <x:v>403</x:v>
      </x:c>
      <x:c r="K51" s="96" t="str">
        <x:v>HTTP 403 Forbidden; запись не изменена.</x:v>
      </x:c>
      <x:c r="L51" s="96" t="str">
        <x:v>[BOOK-PATCH-004] PATCH без авторизации</x:v>
      </x:c>
      <x:c r="M51" s="114" t="str">
        <x:v>Да</x:v>
      </x:c>
      <x:c r="N51" s="114" t="str">
        <x:v>Пройден</x:v>
      </x:c>
      <x:c r="O51" s="114" t="str">
        <x:v>403 Forbidden.</x:v>
      </x:c>
      <x:c r="P51" s="117" t="str"/>
    </x:row>
    <x:row r="52" ht="76" customHeight="1">
      <x:c r="A52" s="113" t="str">
        <x:v>BOOK-PATCH-005</x:v>
      </x:c>
      <x:c r="B52" s="114" t="str">
        <x:v>/booking/:id</x:v>
      </x:c>
      <x:c r="C52" s="114" t="str">
        <x:v>PATCH</x:v>
      </x:c>
      <x:c r="D52" s="114" t="str">
        <x:v>Негативный</x:v>
      </x:c>
      <x:c r="E52" s="114" t="str">
        <x:v>P0</x:v>
      </x:c>
      <x:c r="F52" s="96" t="str">
        <x:v>PATCH с невалидным token</x:v>
      </x:c>
      <x:c r="G52" s="96" t="str">
        <x:v>Выполнен [SETUP] Create PATCH fixtures; patchBookingId и patchValidationBookingId сохранены; token получен.</x:v>
      </x:c>
      <x:c r="H52" s="96" t="str">
        <x:v>Cookie=token=invalid</x:v>
      </x:c>
      <x:c r="I52" s="96" t="str">
        <x:v>1. Отправить PATCH с невалидным token.
2. Проверить отказ.</x:v>
      </x:c>
      <x:c r="J52" s="111" t="n">
        <x:v>403</x:v>
      </x:c>
      <x:c r="K52" s="96" t="str">
        <x:v>HTTP 403 Forbidden; запись не изменена.</x:v>
      </x:c>
      <x:c r="L52" s="96" t="str">
        <x:v>[BOOK-PATCH-005] PATCH с невалидным token</x:v>
      </x:c>
      <x:c r="M52" s="114" t="str">
        <x:v>Да</x:v>
      </x:c>
      <x:c r="N52" s="114" t="str">
        <x:v>Пройден</x:v>
      </x:c>
      <x:c r="O52" s="114" t="str">
        <x:v>403 Forbidden.</x:v>
      </x:c>
      <x:c r="P52" s="117" t="str"/>
    </x:row>
    <x:row r="53" ht="76" customHeight="1">
      <x:c r="A53" s="113" t="str">
        <x:v>BOOK-PATCH-006</x:v>
      </x:c>
      <x:c r="B53" s="114" t="str">
        <x:v>/booking/:id</x:v>
      </x:c>
      <x:c r="C53" s="114" t="str">
        <x:v>PATCH</x:v>
      </x:c>
      <x:c r="D53" s="114" t="str">
        <x:v>Негативный</x:v>
      </x:c>
      <x:c r="E53" s="114" t="str">
        <x:v>P0</x:v>
      </x:c>
      <x:c r="F53" s="96" t="str">
        <x:v>PATCH с неверным типом totalprice</x:v>
      </x:c>
      <x:c r="G53" s="96" t="str">
        <x:v>Выполнен [SETUP] Create PATCH fixtures; patchBookingId и patchValidationBookingId сохранены; token получен.</x:v>
      </x:c>
      <x:c r="H53" s="96" t="str">
        <x:v>{"totalprice":"free"}</x:v>
      </x:c>
      <x:c r="I53" s="96" t="str">
        <x:v>1. Передать строку вместо Number.
2. Отправить PATCH.
3. Проверить валидацию.</x:v>
      </x:c>
      <x:c r="J53" s="111" t="n">
        <x:v>400</x:v>
      </x:c>
      <x:c r="K53" s="96" t="str">
        <x:v>HTTP 400; исходное значение не изменено.</x:v>
      </x:c>
      <x:c r="L53" s="96" t="str">
        <x:v>[BOOK-PATCH-006] PATCH с неверным типом totalprice</x:v>
      </x:c>
      <x:c r="M53" s="114" t="str">
        <x:v>Да</x:v>
      </x:c>
      <x:c r="N53" s="114" t="str">
        <x:v>Провален</x:v>
      </x:c>
      <x:c r="O53" s="114" t="str">
        <x:v>200; totalprice преобразован в null.</x:v>
      </x:c>
      <x:c r="P53" s="117" t="str">
        <x:v>BUG-004</x:v>
      </x:c>
    </x:row>
    <x:row r="54" ht="76" customHeight="1">
      <x:c r="A54" s="113" t="str">
        <x:v>BOOK-PATCH-007</x:v>
      </x:c>
      <x:c r="B54" s="114" t="str">
        <x:v>/booking/:id</x:v>
      </x:c>
      <x:c r="C54" s="114" t="str">
        <x:v>PATCH</x:v>
      </x:c>
      <x:c r="D54" s="114" t="str">
        <x:v>Негативный</x:v>
      </x:c>
      <x:c r="E54" s="114" t="str">
        <x:v>P1</x:v>
      </x:c>
      <x:c r="F54" s="96" t="str">
        <x:v>PATCH несуществующей брони</x:v>
      </x:c>
      <x:c r="G54" s="96" t="str">
        <x:v>Выполнен AUTH-001; валидный token сохранён в переменную коллекции.</x:v>
      </x:c>
      <x:c r="H54" s="96" t="str">
        <x:v>id=999999999; {"firstname":"Missing"}</x:v>
      </x:c>
      <x:c r="I54" s="96" t="str">
        <x:v>1. Отправить авторизованный PATCH по отсутствующему ID.
2. Проверить код.</x:v>
      </x:c>
      <x:c r="J54" s="111" t="n">
        <x:v>404</x:v>
      </x:c>
      <x:c r="K54" s="96" t="str">
        <x:v>HTTP 404 Not Found.</x:v>
      </x:c>
      <x:c r="L54" s="96" t="str">
        <x:v>[BOOK-PATCH-007] PATCH несуществующей брони</x:v>
      </x:c>
      <x:c r="M54" s="114" t="str">
        <x:v>Да</x:v>
      </x:c>
      <x:c r="N54" s="114" t="str">
        <x:v>Провален</x:v>
      </x:c>
      <x:c r="O54" s="114" t="str">
        <x:v>405 Method Not Allowed.</x:v>
      </x:c>
      <x:c r="P54" s="117" t="str">
        <x:v>BUG-009</x:v>
      </x:c>
    </x:row>
    <x:row r="55" ht="76" customHeight="1">
      <x:c r="A55" s="113" t="str">
        <x:v>BOOK-DELETE-001</x:v>
      </x:c>
      <x:c r="B55" s="114" t="str">
        <x:v>/booking/:id</x:v>
      </x:c>
      <x:c r="C55" s="114" t="str">
        <x:v>DELETE</x:v>
      </x:c>
      <x:c r="D55" s="114" t="str">
        <x:v>Позитивный</x:v>
      </x:c>
      <x:c r="E55" s="114" t="str">
        <x:v>P0</x:v>
      </x:c>
      <x:c r="F55" s="96" t="str">
        <x:v>Удаление брони по token cookie</x:v>
      </x:c>
      <x:c r="G55" s="96" t="str">
        <x:v>Выполнен [SETUP] Create DELETE fixtures; token получен.</x:v>
      </x:c>
      <x:c r="H55" s="96" t="str">
        <x:v>id={{deleteCookieId}}; Cookie=token={{token}}</x:v>
      </x:c>
      <x:c r="I55" s="96" t="str">
        <x:v>1. Отправить DELETE.
2. Проверить код ответа.</x:v>
      </x:c>
      <x:c r="J55" s="111" t="n">
        <x:v>201</x:v>
      </x:c>
      <x:c r="K55" s="96" t="str">
        <x:v>HTTP 201 согласно контракту сервиса.</x:v>
      </x:c>
      <x:c r="L55" s="96" t="str">
        <x:v>[BOOK-DELETE-001] Удаление брони по token cookie</x:v>
      </x:c>
      <x:c r="M55" s="114" t="str">
        <x:v>Да</x:v>
      </x:c>
      <x:c r="N55" s="114" t="str">
        <x:v>Пройден</x:v>
      </x:c>
      <x:c r="O55" s="114" t="str">
        <x:v>201 Created.</x:v>
      </x:c>
      <x:c r="P55" s="117" t="str"/>
    </x:row>
    <x:row r="56" ht="76" customHeight="1">
      <x:c r="A56" s="113" t="str">
        <x:v>BOOK-DELETE-002</x:v>
      </x:c>
      <x:c r="B56" s="114" t="str">
        <x:v>/booking/:id</x:v>
      </x:c>
      <x:c r="C56" s="114" t="str">
        <x:v>GET</x:v>
      </x:c>
      <x:c r="D56" s="114" t="str">
        <x:v>Позитивный</x:v>
      </x:c>
      <x:c r="E56" s="114" t="str">
        <x:v>P0</x:v>
      </x:c>
      <x:c r="F56" s="96" t="str">
        <x:v>Проверка удаления через GET</x:v>
      </x:c>
      <x:c r="G56" s="96" t="str">
        <x:v>Выполнен [SETUP] Create DELETE fixtures; token получен.</x:v>
      </x:c>
      <x:c r="H56" s="96" t="str">
        <x:v>id={{deleteCookieId}}</x:v>
      </x:c>
      <x:c r="I56" s="96" t="str">
        <x:v>1. После DELETE выполнить GET того же ID.
2. Проверить отсутствие.</x:v>
      </x:c>
      <x:c r="J56" s="111" t="n">
        <x:v>404</x:v>
      </x:c>
      <x:c r="K56" s="96" t="str">
        <x:v>HTTP 404 Not Found.</x:v>
      </x:c>
      <x:c r="L56" s="96" t="str">
        <x:v>[BOOK-DELETE-002] Проверка удаления через GET</x:v>
      </x:c>
      <x:c r="M56" s="114" t="str">
        <x:v>Да</x:v>
      </x:c>
      <x:c r="N56" s="114" t="str">
        <x:v>Пройден</x:v>
      </x:c>
      <x:c r="O56" s="114" t="str">
        <x:v>404 Not Found.</x:v>
      </x:c>
      <x:c r="P56" s="117" t="str"/>
    </x:row>
    <x:row r="57" ht="76" customHeight="1">
      <x:c r="A57" s="113" t="str">
        <x:v>BOOK-DELETE-003</x:v>
      </x:c>
      <x:c r="B57" s="114" t="str">
        <x:v>/booking/:id</x:v>
      </x:c>
      <x:c r="C57" s="114" t="str">
        <x:v>DELETE</x:v>
      </x:c>
      <x:c r="D57" s="114" t="str">
        <x:v>Позитивный</x:v>
      </x:c>
      <x:c r="E57" s="114" t="str">
        <x:v>P1</x:v>
      </x:c>
      <x:c r="F57" s="96" t="str">
        <x:v>Удаление по Basic Auth</x:v>
      </x:c>
      <x:c r="G57" s="96" t="str">
        <x:v>Выполнен [SETUP] Create DELETE fixtures; token получен.</x:v>
      </x:c>
      <x:c r="H57" s="96" t="str">
        <x:v>id={{deleteBasicId}}; Authorization=Basic ...</x:v>
      </x:c>
      <x:c r="I57" s="96" t="str">
        <x:v>1. Отправить DELETE с Basic Auth.
2. Проверить удаление.</x:v>
      </x:c>
      <x:c r="J57" s="111" t="n">
        <x:v>201</x:v>
      </x:c>
      <x:c r="K57" s="96" t="str">
        <x:v>HTTP 201; запись удалена.</x:v>
      </x:c>
      <x:c r="L57" s="96" t="str">
        <x:v>[BOOK-DELETE-003] Удаление по Basic Auth</x:v>
      </x:c>
      <x:c r="M57" s="114" t="str">
        <x:v>Да</x:v>
      </x:c>
      <x:c r="N57" s="114" t="str">
        <x:v>Пройден</x:v>
      </x:c>
      <x:c r="O57" s="114" t="str">
        <x:v>201 Created; запись удалена по Basic Auth.</x:v>
      </x:c>
      <x:c r="P57" s="117" t="str"/>
    </x:row>
    <x:row r="58" ht="76" customHeight="1">
      <x:c r="A58" s="113" t="str">
        <x:v>BOOK-DELETE-004</x:v>
      </x:c>
      <x:c r="B58" s="114" t="str">
        <x:v>/booking/:id</x:v>
      </x:c>
      <x:c r="C58" s="114" t="str">
        <x:v>DELETE</x:v>
      </x:c>
      <x:c r="D58" s="114" t="str">
        <x:v>Негативный</x:v>
      </x:c>
      <x:c r="E58" s="114" t="str">
        <x:v>P0</x:v>
      </x:c>
      <x:c r="F58" s="96" t="str">
        <x:v>DELETE без авторизации</x:v>
      </x:c>
      <x:c r="G58" s="96" t="str">
        <x:v>Выполнен [SETUP] Create DELETE fixtures; token получен.</x:v>
      </x:c>
      <x:c r="H58" s="96" t="str">
        <x:v>id={{deleteAuthId}}; авторизация отсутствует</x:v>
      </x:c>
      <x:c r="I58" s="96" t="str">
        <x:v>1. Отправить DELETE без авторизации.
2. Проверить отказ.</x:v>
      </x:c>
      <x:c r="J58" s="111" t="n">
        <x:v>403</x:v>
      </x:c>
      <x:c r="K58" s="96" t="str">
        <x:v>HTTP 403; запись остаётся доступной.</x:v>
      </x:c>
      <x:c r="L58" s="96" t="str">
        <x:v>[BOOK-DELETE-004] DELETE без авторизации</x:v>
      </x:c>
      <x:c r="M58" s="114" t="str">
        <x:v>Да</x:v>
      </x:c>
      <x:c r="N58" s="114" t="str">
        <x:v>Пройден</x:v>
      </x:c>
      <x:c r="O58" s="114" t="str">
        <x:v>403 Forbidden.</x:v>
      </x:c>
      <x:c r="P58" s="117" t="str"/>
    </x:row>
    <x:row r="59" ht="76" customHeight="1">
      <x:c r="A59" s="113" t="str">
        <x:v>BOOK-DELETE-005</x:v>
      </x:c>
      <x:c r="B59" s="114" t="str">
        <x:v>/booking/:id</x:v>
      </x:c>
      <x:c r="C59" s="114" t="str">
        <x:v>DELETE</x:v>
      </x:c>
      <x:c r="D59" s="114" t="str">
        <x:v>Негативный</x:v>
      </x:c>
      <x:c r="E59" s="114" t="str">
        <x:v>P0</x:v>
      </x:c>
      <x:c r="F59" s="96" t="str">
        <x:v>DELETE с невалидным token</x:v>
      </x:c>
      <x:c r="G59" s="96" t="str">
        <x:v>Выполнен [SETUP] Create DELETE fixtures; token получен.</x:v>
      </x:c>
      <x:c r="H59" s="96" t="str">
        <x:v>id={{deleteAuthId}}; Cookie=token=invalid</x:v>
      </x:c>
      <x:c r="I59" s="96" t="str">
        <x:v>1. Отправить DELETE с неверным token.
2. Проверить отказ.</x:v>
      </x:c>
      <x:c r="J59" s="111" t="n">
        <x:v>403</x:v>
      </x:c>
      <x:c r="K59" s="96" t="str">
        <x:v>HTTP 403; запись не удалена.</x:v>
      </x:c>
      <x:c r="L59" s="96" t="str">
        <x:v>[BOOK-DELETE-005] DELETE с невалидным token</x:v>
      </x:c>
      <x:c r="M59" s="114" t="str">
        <x:v>Да</x:v>
      </x:c>
      <x:c r="N59" s="114" t="str">
        <x:v>Пройден</x:v>
      </x:c>
      <x:c r="O59" s="114" t="str">
        <x:v>403 Forbidden.</x:v>
      </x:c>
      <x:c r="P59" s="117" t="str"/>
    </x:row>
    <x:row r="60" ht="76" customHeight="1">
      <x:c r="A60" s="113" t="str">
        <x:v>BOOK-DELETE-006</x:v>
      </x:c>
      <x:c r="B60" s="114" t="str">
        <x:v>/booking/:id</x:v>
      </x:c>
      <x:c r="C60" s="114" t="str">
        <x:v>DELETE</x:v>
      </x:c>
      <x:c r="D60" s="114" t="str">
        <x:v>Негативный</x:v>
      </x:c>
      <x:c r="E60" s="114" t="str">
        <x:v>P1</x:v>
      </x:c>
      <x:c r="F60" s="96" t="str">
        <x:v>DELETE несуществующей брони</x:v>
      </x:c>
      <x:c r="G60" s="96" t="str">
        <x:v>Выполнен AUTH-001; валидный token сохранён в переменную коллекции.</x:v>
      </x:c>
      <x:c r="H60" s="96" t="str">
        <x:v>id=999999999</x:v>
      </x:c>
      <x:c r="I60" s="96" t="str">
        <x:v>1. Отправить авторизованный DELETE по отсутствующему ID.
2. Проверить код.</x:v>
      </x:c>
      <x:c r="J60" s="111" t="n">
        <x:v>404</x:v>
      </x:c>
      <x:c r="K60" s="96" t="str">
        <x:v>HTTP 404 Not Found.</x:v>
      </x:c>
      <x:c r="L60" s="96" t="str">
        <x:v>[BOOK-DELETE-006] DELETE несуществующей брони</x:v>
      </x:c>
      <x:c r="M60" s="114" t="str">
        <x:v>Да</x:v>
      </x:c>
      <x:c r="N60" s="114" t="str">
        <x:v>Провален</x:v>
      </x:c>
      <x:c r="O60" s="114" t="str">
        <x:v>405 Method Not Allowed.</x:v>
      </x:c>
      <x:c r="P60" s="117" t="str">
        <x:v>BUG-009</x:v>
      </x:c>
    </x:row>
    <x:row r="61" ht="76" customHeight="1">
      <x:c r="A61" s="115" t="str">
        <x:v>BOOK-DELETE-007</x:v>
      </x:c>
      <x:c r="B61" s="116" t="str">
        <x:v>/booking/:id</x:v>
      </x:c>
      <x:c r="C61" s="116" t="str">
        <x:v>DELETE</x:v>
      </x:c>
      <x:c r="D61" s="116" t="str">
        <x:v>Негативный</x:v>
      </x:c>
      <x:c r="E61" s="116" t="str">
        <x:v>P2</x:v>
      </x:c>
      <x:c r="F61" s="99" t="str">
        <x:v>Повторное удаление той же брони</x:v>
      </x:c>
      <x:c r="G61" s="99" t="str">
        <x:v>Выполнен [SETUP] Create DELETE fixtures; token получен.</x:v>
      </x:c>
      <x:c r="H61" s="99" t="str">
        <x:v>id={{deleteCookieId}} уже удалён</x:v>
      </x:c>
      <x:c r="I61" s="99" t="str">
        <x:v>1. Повторить DELETE ранее удалённого ID.
2. Проверить идемпотентный ответ отсутствия.</x:v>
      </x:c>
      <x:c r="J61" s="112" t="n">
        <x:v>404</x:v>
      </x:c>
      <x:c r="K61" s="99" t="str">
        <x:v>HTTP 404 Not Found.</x:v>
      </x:c>
      <x:c r="L61" s="99" t="str">
        <x:v>[BOOK-DELETE-007] Повторное удаление той же брони</x:v>
      </x:c>
      <x:c r="M61" s="116" t="str">
        <x:v>Да</x:v>
      </x:c>
      <x:c r="N61" s="116" t="str">
        <x:v>Провален</x:v>
      </x:c>
      <x:c r="O61" s="116" t="str">
        <x:v>405 Method Not Allowed.</x:v>
      </x:c>
      <x:c r="P61" s="118" t="str">
        <x:v>BUG-009</x:v>
      </x:c>
    </x:row>
  </x:sheetData>
  <x:mergeCells>
    <x:mergeCell ref="A1:P1"/>
    <x:mergeCell ref="A2:P2"/>
  </x:mergeCells>
  <x:conditionalFormatting sqref="E5:E61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conditionalFormatting sqref="N5:N61">
    <x:cfRule type="containsText" dxfId="3" priority="4" operator="containsText" text="Пройден"/>
    <x:cfRule type="containsText" dxfId="4" priority="5" operator="containsText" text="Провален"/>
    <x:cfRule type="containsText" dxfId="5" priority="6" operator="containsText" text="Не выполнялся"/>
    <x:cfRule type="containsText" dxfId="6" priority="7" operator="containsText" text="Заблокирован"/>
  </x:conditionalFormatting>
  <x:dataValidations count="3">
    <x:dataValidation type="list" sqref="D5:D61">
      <x:formula1>"Позитивный,Негативный"</x:formula1>
    </x:dataValidation>
    <x:dataValidation type="list" sqref="E5:E61">
      <x:formula1>"P0,P1,P2,P3"</x:formula1>
    </x:dataValidation>
    <x:dataValidation type="list" sqref="N5:N61">
      <x:formula1>"Пройден,Провален,Не выполнялся,Заблокирован"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c7a27fcbc04c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</x:cols>
  <x:sheetData>
    <x:row r="1" ht="32" customHeight="1">
      <x:c r="A1" s="3" t="str">
        <x:v>Матрица покрытия</x:v>
      </x:c>
      <x:c r="B1" s="3" t="str">
        <x:v>Матрица покрытия</x:v>
      </x:c>
      <x:c r="C1" s="3" t="str">
        <x:v>Матрица покрытия</x:v>
      </x:c>
      <x:c r="D1" s="3" t="str">
        <x:v>Матрица покрытия</x:v>
      </x:c>
      <x:c r="E1" s="3" t="str">
        <x:v>Матрица покрытия</x:v>
      </x:c>
      <x:c r="F1" s="3" t="str">
        <x:v>Матрица покрытия</x:v>
      </x:c>
      <x:c r="G1" s="3" t="str">
        <x:v>Матрица покрытия</x:v>
      </x:c>
      <x:c r="H1" s="3" t="str">
        <x:v>Матрица покрытия</x:v>
      </x:c>
    </x:row>
    <x:row r="2" ht="32" customHeight="1">
      <x:c r="A2" s="7" t="str">
        <x:v>Распределение кейсов по операции, типу и результату исследовательского прогона.</x:v>
      </x:c>
      <x:c r="B2" s="7" t="str">
        <x:v>Распределение кейсов по операции, типу и результату исследовательского прогона.</x:v>
      </x:c>
      <x:c r="C2" s="7" t="str">
        <x:v>Распределение кейсов по операции, типу и результату исследовательского прогона.</x:v>
      </x:c>
      <x:c r="D2" s="7" t="str">
        <x:v>Распределение кейсов по операции, типу и результату исследовательского прогона.</x:v>
      </x:c>
      <x:c r="E2" s="7" t="str">
        <x:v>Распределение кейсов по операции, типу и результату исследовательского прогона.</x:v>
      </x:c>
      <x:c r="F2" s="7" t="str">
        <x:v>Распределение кейсов по операции, типу и результату исследовательского прогона.</x:v>
      </x:c>
      <x:c r="G2" s="7" t="str">
        <x:v>Распределение кейсов по операции, типу и результату исследовательского прогона.</x:v>
      </x:c>
      <x:c r="H2" s="7" t="str">
        <x:v>Распределение кейсов по операции, типу и результату исследовательского прогона.</x:v>
      </x:c>
    </x:row>
    <x:row r="4" ht="32" customHeight="1">
      <x:c r="A4" s="23" t="str">
        <x:v>Method</x:v>
      </x:c>
      <x:c r="B4" s="23" t="str">
        <x:v>Endpoint</x:v>
      </x:c>
      <x:c r="C4" s="23" t="str">
        <x:v>Всего</x:v>
      </x:c>
      <x:c r="D4" s="23" t="str">
        <x:v>Позитивные</x:v>
      </x:c>
      <x:c r="E4" s="23" t="str">
        <x:v>Негативные</x:v>
      </x:c>
      <x:c r="F4" s="23" t="str">
        <x:v>Пройдено</x:v>
      </x:c>
      <x:c r="G4" s="23" t="str">
        <x:v>Провалено</x:v>
      </x:c>
      <x:c r="H4" s="23" t="str">
        <x:v>Не выполнялось</x:v>
      </x:c>
    </x:row>
    <x:row r="5" ht="28" customHeight="1">
      <x:c r="A5" s="121" t="str">
        <x:v>GET</x:v>
      </x:c>
      <x:c r="B5" s="121" t="str">
        <x:v>/ping</x:v>
      </x:c>
      <x:c r="C5" s="123" t="n">
        <x:f>COUNTIFS('Тест-кейсы'!$B$5:$B$200,B5,'Тест-кейсы'!$C$5:$C$200,A5)</x:f>
        <x:v>1</x:v>
      </x:c>
      <x:c r="D5" s="123" t="n">
        <x:f>COUNTIFS('Тест-кейсы'!$B$5:$B$200,B5,'Тест-кейсы'!$C$5:$C$200,A5,'Тест-кейсы'!$D$5:$D$200,"Позитивный")</x:f>
        <x:v>1</x:v>
      </x:c>
      <x:c r="E5" s="123" t="n">
        <x:f>COUNTIFS('Тест-кейсы'!$B$5:$B$200,B5,'Тест-кейсы'!$C$5:$C$200,A5,'Тест-кейсы'!$D$5:$D$200,"Негативный")</x:f>
        <x:v>0</x:v>
      </x:c>
      <x:c r="F5" s="123" t="n">
        <x:f>COUNTIFS('Тест-кейсы'!$B$5:$B$200,B5,'Тест-кейсы'!$C$5:$C$200,A5,'Тест-кейсы'!$N$5:$N$200,"Пройден")</x:f>
        <x:v>1</x:v>
      </x:c>
      <x:c r="G5" s="123" t="n">
        <x:f>COUNTIFS('Тест-кейсы'!$B$5:$B$200,B5,'Тест-кейсы'!$C$5:$C$200,A5,'Тест-кейсы'!$N$5:$N$200,"Провален")</x:f>
        <x:v>0</x:v>
      </x:c>
      <x:c r="H5" s="123" t="n">
        <x:f>COUNTIFS('Тест-кейсы'!$B$5:$B$200,B5,'Тест-кейсы'!$C$5:$C$200,A5,'Тест-кейсы'!$N$5:$N$200,"Не выполнялся")</x:f>
        <x:v>0</x:v>
      </x:c>
    </x:row>
    <x:row r="6" ht="28" customHeight="1">
      <x:c r="A6" s="121" t="str">
        <x:v>POST</x:v>
      </x:c>
      <x:c r="B6" s="121" t="str">
        <x:v>/ping</x:v>
      </x:c>
      <x:c r="C6" s="123" t="n">
        <x:f>COUNTIFS('Тест-кейсы'!$B$5:$B$200,B6,'Тест-кейсы'!$C$5:$C$200,A6)</x:f>
        <x:v>1</x:v>
      </x:c>
      <x:c r="D6" s="123" t="n">
        <x:f>COUNTIFS('Тест-кейсы'!$B$5:$B$200,B6,'Тест-кейсы'!$C$5:$C$200,A6,'Тест-кейсы'!$D$5:$D$200,"Позитивный")</x:f>
        <x:v>0</x:v>
      </x:c>
      <x:c r="E6" s="123" t="n">
        <x:f>COUNTIFS('Тест-кейсы'!$B$5:$B$200,B6,'Тест-кейсы'!$C$5:$C$200,A6,'Тест-кейсы'!$D$5:$D$200,"Негативный")</x:f>
        <x:v>1</x:v>
      </x:c>
      <x:c r="F6" s="123" t="n">
        <x:f>COUNTIFS('Тест-кейсы'!$B$5:$B$200,B6,'Тест-кейсы'!$C$5:$C$200,A6,'Тест-кейсы'!$N$5:$N$200,"Пройден")</x:f>
        <x:v>1</x:v>
      </x:c>
      <x:c r="G6" s="123" t="n">
        <x:f>COUNTIFS('Тест-кейсы'!$B$5:$B$200,B6,'Тест-кейсы'!$C$5:$C$200,A6,'Тест-кейсы'!$N$5:$N$200,"Провален")</x:f>
        <x:v>0</x:v>
      </x:c>
      <x:c r="H6" s="123" t="n">
        <x:f>COUNTIFS('Тест-кейсы'!$B$5:$B$200,B6,'Тест-кейсы'!$C$5:$C$200,A6,'Тест-кейсы'!$N$5:$N$200,"Не выполнялся")</x:f>
        <x:v>0</x:v>
      </x:c>
    </x:row>
    <x:row r="7" ht="28" customHeight="1">
      <x:c r="A7" s="121" t="str">
        <x:v>POST</x:v>
      </x:c>
      <x:c r="B7" s="121" t="str">
        <x:v>/auth</x:v>
      </x:c>
      <x:c r="C7" s="123" t="n">
        <x:f>COUNTIFS('Тест-кейсы'!$B$5:$B$200,B7,'Тест-кейсы'!$C$5:$C$200,A7)</x:f>
        <x:v>4</x:v>
      </x:c>
      <x:c r="D7" s="123" t="n">
        <x:f>COUNTIFS('Тест-кейсы'!$B$5:$B$200,B7,'Тест-кейсы'!$C$5:$C$200,A7,'Тест-кейсы'!$D$5:$D$200,"Позитивный")</x:f>
        <x:v>1</x:v>
      </x:c>
      <x:c r="E7" s="123" t="n">
        <x:f>COUNTIFS('Тест-кейсы'!$B$5:$B$200,B7,'Тест-кейсы'!$C$5:$C$200,A7,'Тест-кейсы'!$D$5:$D$200,"Негативный")</x:f>
        <x:v>3</x:v>
      </x:c>
      <x:c r="F7" s="123" t="n">
        <x:f>COUNTIFS('Тест-кейсы'!$B$5:$B$200,B7,'Тест-кейсы'!$C$5:$C$200,A7,'Тест-кейсы'!$N$5:$N$200,"Пройден")</x:f>
        <x:v>2</x:v>
      </x:c>
      <x:c r="G7" s="123" t="n">
        <x:f>COUNTIFS('Тест-кейсы'!$B$5:$B$200,B7,'Тест-кейсы'!$C$5:$C$200,A7,'Тест-кейсы'!$N$5:$N$200,"Провален")</x:f>
        <x:v>2</x:v>
      </x:c>
      <x:c r="H7" s="123" t="n">
        <x:f>COUNTIFS('Тест-кейсы'!$B$5:$B$200,B7,'Тест-кейсы'!$C$5:$C$200,A7,'Тест-кейсы'!$N$5:$N$200,"Не выполнялся")</x:f>
        <x:v>0</x:v>
      </x:c>
    </x:row>
    <x:row r="8" ht="28" customHeight="1">
      <x:c r="A8" s="121" t="str">
        <x:v>POST</x:v>
      </x:c>
      <x:c r="B8" s="121" t="str">
        <x:v>/booking</x:v>
      </x:c>
      <x:c r="C8" s="123" t="n">
        <x:f>COUNTIFS('Тест-кейсы'!$B$5:$B$200,B8,'Тест-кейсы'!$C$5:$C$200,A8)</x:f>
        <x:v>13</x:v>
      </x:c>
      <x:c r="D8" s="123" t="n">
        <x:f>COUNTIFS('Тест-кейсы'!$B$5:$B$200,B8,'Тест-кейсы'!$C$5:$C$200,A8,'Тест-кейсы'!$D$5:$D$200,"Позитивный")</x:f>
        <x:v>3</x:v>
      </x:c>
      <x:c r="E8" s="123" t="n">
        <x:f>COUNTIFS('Тест-кейсы'!$B$5:$B$200,B8,'Тест-кейсы'!$C$5:$C$200,A8,'Тест-кейсы'!$D$5:$D$200,"Негативный")</x:f>
        <x:v>10</x:v>
      </x:c>
      <x:c r="F8" s="123" t="n">
        <x:f>COUNTIFS('Тест-кейсы'!$B$5:$B$200,B8,'Тест-кейсы'!$C$5:$C$200,A8,'Тест-кейсы'!$N$5:$N$200,"Пройден")</x:f>
        <x:v>3</x:v>
      </x:c>
      <x:c r="G8" s="123" t="n">
        <x:f>COUNTIFS('Тест-кейсы'!$B$5:$B$200,B8,'Тест-кейсы'!$C$5:$C$200,A8,'Тест-кейсы'!$N$5:$N$200,"Провален")</x:f>
        <x:v>10</x:v>
      </x:c>
      <x:c r="H8" s="123" t="n">
        <x:f>COUNTIFS('Тест-кейсы'!$B$5:$B$200,B8,'Тест-кейсы'!$C$5:$C$200,A8,'Тест-кейсы'!$N$5:$N$200,"Не выполнялся")</x:f>
        <x:v>0</x:v>
      </x:c>
    </x:row>
    <x:row r="9" ht="28" customHeight="1">
      <x:c r="A9" s="121" t="str">
        <x:v>GET</x:v>
      </x:c>
      <x:c r="B9" s="121" t="str">
        <x:v>/booking</x:v>
      </x:c>
      <x:c r="C9" s="123" t="n">
        <x:f>COUNTIFS('Тест-кейсы'!$B$5:$B$200,B9,'Тест-кейсы'!$C$5:$C$200,A9)</x:f>
        <x:v>10</x:v>
      </x:c>
      <x:c r="D9" s="123" t="n">
        <x:f>COUNTIFS('Тест-кейсы'!$B$5:$B$200,B9,'Тест-кейсы'!$C$5:$C$200,A9,'Тест-кейсы'!$D$5:$D$200,"Позитивный")</x:f>
        <x:v>7</x:v>
      </x:c>
      <x:c r="E9" s="123" t="n">
        <x:f>COUNTIFS('Тест-кейсы'!$B$5:$B$200,B9,'Тест-кейсы'!$C$5:$C$200,A9,'Тест-кейсы'!$D$5:$D$200,"Негативный")</x:f>
        <x:v>3</x:v>
      </x:c>
      <x:c r="F9" s="123" t="n">
        <x:f>COUNTIFS('Тест-кейсы'!$B$5:$B$200,B9,'Тест-кейсы'!$C$5:$C$200,A9,'Тест-кейсы'!$N$5:$N$200,"Пройден")</x:f>
        <x:v>7</x:v>
      </x:c>
      <x:c r="G9" s="123" t="n">
        <x:f>COUNTIFS('Тест-кейсы'!$B$5:$B$200,B9,'Тест-кейсы'!$C$5:$C$200,A9,'Тест-кейсы'!$N$5:$N$200,"Провален")</x:f>
        <x:v>3</x:v>
      </x:c>
      <x:c r="H9" s="123" t="n">
        <x:f>COUNTIFS('Тест-кейсы'!$B$5:$B$200,B9,'Тест-кейсы'!$C$5:$C$200,A9,'Тест-кейсы'!$N$5:$N$200,"Не выполнялся")</x:f>
        <x:v>0</x:v>
      </x:c>
    </x:row>
    <x:row r="10" ht="28" customHeight="1">
      <x:c r="A10" s="121" t="str">
        <x:v>GET</x:v>
      </x:c>
      <x:c r="B10" s="121" t="str">
        <x:v>/booking/:id</x:v>
      </x:c>
      <x:c r="C10" s="123" t="n">
        <x:f>COUNTIFS('Тест-кейсы'!$B$5:$B$200,B10,'Тест-кейсы'!$C$5:$C$200,A10)</x:f>
        <x:v>9</x:v>
      </x:c>
      <x:c r="D10" s="123" t="n">
        <x:f>COUNTIFS('Тест-кейсы'!$B$5:$B$200,B10,'Тест-кейсы'!$C$5:$C$200,A10,'Тест-кейсы'!$D$5:$D$200,"Позитивный")</x:f>
        <x:v>5</x:v>
      </x:c>
      <x:c r="E10" s="123" t="n">
        <x:f>COUNTIFS('Тест-кейсы'!$B$5:$B$200,B10,'Тест-кейсы'!$C$5:$C$200,A10,'Тест-кейсы'!$D$5:$D$200,"Негативный")</x:f>
        <x:v>4</x:v>
      </x:c>
      <x:c r="F10" s="123" t="n">
        <x:f>COUNTIFS('Тест-кейсы'!$B$5:$B$200,B10,'Тест-кейсы'!$C$5:$C$200,A10,'Тест-кейсы'!$N$5:$N$200,"Пройден")</x:f>
        <x:v>6</x:v>
      </x:c>
      <x:c r="G10" s="123" t="n">
        <x:f>COUNTIFS('Тест-кейсы'!$B$5:$B$200,B10,'Тест-кейсы'!$C$5:$C$200,A10,'Тест-кейсы'!$N$5:$N$200,"Провален")</x:f>
        <x:v>3</x:v>
      </x:c>
      <x:c r="H10" s="123" t="n">
        <x:f>COUNTIFS('Тест-кейсы'!$B$5:$B$200,B10,'Тест-кейсы'!$C$5:$C$200,A10,'Тест-кейсы'!$N$5:$N$200,"Не выполнялся")</x:f>
        <x:v>0</x:v>
      </x:c>
    </x:row>
    <x:row r="11" ht="28" customHeight="1">
      <x:c r="A11" s="121" t="str">
        <x:v>PUT</x:v>
      </x:c>
      <x:c r="B11" s="121" t="str">
        <x:v>/booking/:id</x:v>
      </x:c>
      <x:c r="C11" s="123" t="n">
        <x:f>COUNTIFS('Тест-кейсы'!$B$5:$B$200,B11,'Тест-кейсы'!$C$5:$C$200,A11)</x:f>
        <x:v>7</x:v>
      </x:c>
      <x:c r="D11" s="123" t="n">
        <x:f>COUNTIFS('Тест-кейсы'!$B$5:$B$200,B11,'Тест-кейсы'!$C$5:$C$200,A11,'Тест-кейсы'!$D$5:$D$200,"Позитивный")</x:f>
        <x:v>2</x:v>
      </x:c>
      <x:c r="E11" s="123" t="n">
        <x:f>COUNTIFS('Тест-кейсы'!$B$5:$B$200,B11,'Тест-кейсы'!$C$5:$C$200,A11,'Тест-кейсы'!$D$5:$D$200,"Негативный")</x:f>
        <x:v>5</x:v>
      </x:c>
      <x:c r="F11" s="123" t="n">
        <x:f>COUNTIFS('Тест-кейсы'!$B$5:$B$200,B11,'Тест-кейсы'!$C$5:$C$200,A11,'Тест-кейсы'!$N$5:$N$200,"Пройден")</x:f>
        <x:v>5</x:v>
      </x:c>
      <x:c r="G11" s="123" t="n">
        <x:f>COUNTIFS('Тест-кейсы'!$B$5:$B$200,B11,'Тест-кейсы'!$C$5:$C$200,A11,'Тест-кейсы'!$N$5:$N$200,"Провален")</x:f>
        <x:v>2</x:v>
      </x:c>
      <x:c r="H11" s="123" t="n">
        <x:f>COUNTIFS('Тест-кейсы'!$B$5:$B$200,B11,'Тест-кейсы'!$C$5:$C$200,A11,'Тест-кейсы'!$N$5:$N$200,"Не выполнялся")</x:f>
        <x:v>0</x:v>
      </x:c>
    </x:row>
    <x:row r="12" ht="28" customHeight="1">
      <x:c r="A12" s="121" t="str">
        <x:v>PATCH</x:v>
      </x:c>
      <x:c r="B12" s="121" t="str">
        <x:v>/booking/:id</x:v>
      </x:c>
      <x:c r="C12" s="123" t="n">
        <x:f>COUNTIFS('Тест-кейсы'!$B$5:$B$200,B12,'Тест-кейсы'!$C$5:$C$200,A12)</x:f>
        <x:v>6</x:v>
      </x:c>
      <x:c r="D12" s="123" t="n">
        <x:f>COUNTIFS('Тест-кейсы'!$B$5:$B$200,B12,'Тест-кейсы'!$C$5:$C$200,A12,'Тест-кейсы'!$D$5:$D$200,"Позитивный")</x:f>
        <x:v>2</x:v>
      </x:c>
      <x:c r="E12" s="123" t="n">
        <x:f>COUNTIFS('Тест-кейсы'!$B$5:$B$200,B12,'Тест-кейсы'!$C$5:$C$200,A12,'Тест-кейсы'!$D$5:$D$200,"Негативный")</x:f>
        <x:v>4</x:v>
      </x:c>
      <x:c r="F12" s="123" t="n">
        <x:f>COUNTIFS('Тест-кейсы'!$B$5:$B$200,B12,'Тест-кейсы'!$C$5:$C$200,A12,'Тест-кейсы'!$N$5:$N$200,"Пройден")</x:f>
        <x:v>4</x:v>
      </x:c>
      <x:c r="G12" s="123" t="n">
        <x:f>COUNTIFS('Тест-кейсы'!$B$5:$B$200,B12,'Тест-кейсы'!$C$5:$C$200,A12,'Тест-кейсы'!$N$5:$N$200,"Провален")</x:f>
        <x:v>2</x:v>
      </x:c>
      <x:c r="H12" s="123" t="n">
        <x:f>COUNTIFS('Тест-кейсы'!$B$5:$B$200,B12,'Тест-кейсы'!$C$5:$C$200,A12,'Тест-кейсы'!$N$5:$N$200,"Не выполнялся")</x:f>
        <x:v>0</x:v>
      </x:c>
    </x:row>
    <x:row r="13" ht="28" customHeight="1">
      <x:c r="A13" s="121" t="str">
        <x:v>DELETE</x:v>
      </x:c>
      <x:c r="B13" s="121" t="str">
        <x:v>/booking/:id</x:v>
      </x:c>
      <x:c r="C13" s="123" t="n">
        <x:f>COUNTIFS('Тест-кейсы'!$B$5:$B$200,B13,'Тест-кейсы'!$C$5:$C$200,A13)</x:f>
        <x:v>6</x:v>
      </x:c>
      <x:c r="D13" s="123" t="n">
        <x:f>COUNTIFS('Тест-кейсы'!$B$5:$B$200,B13,'Тест-кейсы'!$C$5:$C$200,A13,'Тест-кейсы'!$D$5:$D$200,"Позитивный")</x:f>
        <x:v>2</x:v>
      </x:c>
      <x:c r="E13" s="123" t="n">
        <x:f>COUNTIFS('Тест-кейсы'!$B$5:$B$200,B13,'Тест-кейсы'!$C$5:$C$200,A13,'Тест-кейсы'!$D$5:$D$200,"Негативный")</x:f>
        <x:v>4</x:v>
      </x:c>
      <x:c r="F13" s="123" t="n">
        <x:f>COUNTIFS('Тест-кейсы'!$B$5:$B$200,B13,'Тест-кейсы'!$C$5:$C$200,A13,'Тест-кейсы'!$N$5:$N$200,"Пройден")</x:f>
        <x:v>4</x:v>
      </x:c>
      <x:c r="G13" s="123" t="n">
        <x:f>COUNTIFS('Тест-кейсы'!$B$5:$B$200,B13,'Тест-кейсы'!$C$5:$C$200,A13,'Тест-кейсы'!$N$5:$N$200,"Провален")</x:f>
        <x:v>2</x:v>
      </x:c>
      <x:c r="H13" s="123" t="n">
        <x:f>COUNTIFS('Тест-кейсы'!$B$5:$B$200,B13,'Тест-кейсы'!$C$5:$C$200,A13,'Тест-кейсы'!$N$5:$N$200,"Не выполнялся")</x:f>
        <x:v>0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b4b3577b2f046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2" hidden="0" customWidth="1"/>
    <x:col min="3" max="3" width="55" hidden="0" customWidth="1"/>
    <x:col min="4" max="4" width="42" hidden="0" customWidth="1"/>
    <x:col min="5" max="5" width="16" hidden="0" customWidth="1"/>
    <x:col min="6" max="6" width="45" hidden="0" customWidth="1"/>
  </x:cols>
  <x:sheetData>
    <x:row r="1" ht="32" customHeight="1">
      <x:c r="A1" s="3" t="str">
        <x:v>Источники и допущения</x:v>
      </x:c>
      <x:c r="B1" s="3" t="str">
        <x:v>Источники и допущения</x:v>
      </x:c>
      <x:c r="C1" s="3" t="str">
        <x:v>Источники и допущения</x:v>
      </x:c>
      <x:c r="D1" s="3" t="str">
        <x:v>Источники и допущения</x:v>
      </x:c>
      <x:c r="E1" s="3" t="str">
        <x:v>Источники и допущения</x:v>
      </x:c>
      <x:c r="F1" s="3" t="str">
        <x:v>Источники и допущения</x:v>
      </x:c>
    </x:row>
    <x:row r="2" ht="32" customHeight="1">
      <x:c r="A2" s="7" t="str">
        <x:v>Основа ожидаемых результатов и ограничения публичного стенда.</x:v>
      </x:c>
      <x:c r="B2" s="7" t="str">
        <x:v>Основа ожидаемых результатов и ограничения публичного стенда.</x:v>
      </x:c>
      <x:c r="C2" s="7" t="str">
        <x:v>Основа ожидаемых результатов и ограничения публичного стенда.</x:v>
      </x:c>
      <x:c r="D2" s="7" t="str">
        <x:v>Основа ожидаемых результатов и ограничения публичного стенда.</x:v>
      </x:c>
      <x:c r="E2" s="7" t="str">
        <x:v>Основа ожидаемых результатов и ограничения публичного стенда.</x:v>
      </x:c>
      <x:c r="F2" s="7" t="str">
        <x:v>Основа ожидаемых результатов и ограничения публичного стенда.</x:v>
      </x:c>
    </x:row>
    <x:row r="4" ht="32" customHeight="1">
      <x:c r="A4" s="23" t="str">
        <x:v>№</x:v>
      </x:c>
      <x:c r="B4" s="23" t="str">
        <x:v>Источник</x:v>
      </x:c>
      <x:c r="C4" s="23" t="str">
        <x:v>URL</x:v>
      </x:c>
      <x:c r="D4" s="23" t="str">
        <x:v>Использование</x:v>
      </x:c>
      <x:c r="E4" s="23" t="str">
        <x:v>Дата доступа</x:v>
      </x:c>
      <x:c r="F4" s="23" t="str">
        <x:v>Примечание</x:v>
      </x:c>
    </x:row>
    <x:row r="5" ht="52" customHeight="1">
      <x:c r="A5" s="125" t="n">
        <x:v>1</x:v>
      </x:c>
      <x:c r="B5" s="125" t="str">
        <x:v>Официальная API-документация</x:v>
      </x:c>
      <x:c r="C5" s="125" t="str">
        <x:v>https://restful-booker.herokuapp.com/apidoc/index.html</x:v>
      </x:c>
      <x:c r="D5" s="125" t="str">
        <x:v>Методы, поля, форматы, успешные ответы</x:v>
      </x:c>
      <x:c r="E5" s="125" t="str">
        <x:v>2026-09-02</x:v>
      </x:c>
      <x:c r="F5" s="125" t="str">
        <x:v>Документация является основным контрактом задания.</x:v>
      </x:c>
    </x:row>
    <x:row r="6" ht="52" customHeight="1">
      <x:c r="A6" s="125" t="n">
        <x:v>2</x:v>
      </x:c>
      <x:c r="B6" s="125" t="str">
        <x:v>Официальный исходный код</x:v>
      </x:c>
      <x:c r="C6" s="125" t="str">
        <x:v>https://github.com/mwinteringham/restful-booker/blob/main/routes/index.js</x:v>
      </x:c>
      <x:c r="D6" s="125" t="str">
        <x:v>Уточнение реализации и воспроизводимости наблюдений</x:v>
      </x:c>
      <x:c r="E6" s="125" t="str">
        <x:v>2026-09-02</x:v>
      </x:c>
      <x:c r="F6" s="125" t="str">
        <x:v>Использован только как дополнительное подтверждение.</x:v>
      </x:c>
    </x:row>
    <x:row r="7" ht="52" customHeight="1">
      <x:c r="A7" s="125" t="n">
        <x:v>3</x:v>
      </x:c>
      <x:c r="B7" s="125" t="str">
        <x:v>Живой публичный стенд</x:v>
      </x:c>
      <x:c r="C7" s="125" t="str">
        <x:v>https://restful-booker.herokuapp.com</x:v>
      </x:c>
      <x:c r="D7" s="125" t="str">
        <x:v>Фактический исследовательский прогон</x:v>
      </x:c>
      <x:c r="E7" s="125" t="str">
        <x:v>2026-09-02</x:v>
      </x:c>
      <x:c r="F7" s="125" t="str">
        <x:v>Общий стенд; данные могут изменяться или сбрасываться.</x:v>
      </x:c>
    </x:row>
  </x:sheetData>
  <x:mergeCells>
    <x:mergeCell ref="A1:F1"/>
    <x:mergeCell ref="A2:F2"/>
  </x:mergeCells>
  <x:pageMargins left="0.7" right="0.7" top="0.75" bottom="0.75" header="0.3" footer="0.3"/>
</x:worksheet>
</file>